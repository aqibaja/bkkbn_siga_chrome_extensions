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husnulaqib/Library/Mobile Documents/com~apple~CloudDocs/BKKBN/APP/Chrome extenstion/siga_excel_downloader/"/>
    </mc:Choice>
  </mc:AlternateContent>
  <xr:revisionPtr revIDLastSave="0" documentId="8_{6B8EF750-B704-D44A-B921-E251674A44CE}" xr6:coauthVersionLast="47" xr6:coauthVersionMax="47" xr10:uidLastSave="{00000000-0000-0000-0000-000000000000}"/>
  <bookViews>
    <workbookView xWindow="0" yWindow="500" windowWidth="33600" windowHeight="18800" xr2:uid="{EA845449-0E02-894B-8B9D-85DC9F273C5B}"/>
  </bookViews>
  <sheets>
    <sheet name="tahunan" sheetId="2" r:id="rId1"/>
    <sheet name="bulana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9" i="2" l="1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46" i="1"/>
  <c r="C147" i="1"/>
  <c r="C148" i="1"/>
  <c r="C149" i="1"/>
  <c r="C145" i="1"/>
  <c r="C144" i="1"/>
  <c r="C140" i="1"/>
  <c r="C141" i="1"/>
  <c r="C142" i="1"/>
  <c r="C143" i="1"/>
  <c r="C139" i="1"/>
  <c r="C137" i="1"/>
  <c r="C138" i="1"/>
  <c r="C136" i="1"/>
  <c r="C134" i="1"/>
  <c r="C135" i="1"/>
  <c r="C133" i="1"/>
  <c r="C130" i="1"/>
  <c r="C131" i="1"/>
  <c r="C132" i="1"/>
  <c r="C129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50" i="1"/>
  <c r="C51" i="1"/>
  <c r="C52" i="1"/>
  <c r="C53" i="1"/>
  <c r="C54" i="1"/>
  <c r="C55" i="1"/>
  <c r="C56" i="1"/>
  <c r="C4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2" i="1"/>
</calcChain>
</file>

<file path=xl/sharedStrings.xml><?xml version="1.0" encoding="utf-8"?>
<sst xmlns="http://schemas.openxmlformats.org/spreadsheetml/2006/main" count="348" uniqueCount="340">
  <si>
    <t>id</t>
  </si>
  <si>
    <t>yan-kb</t>
  </si>
  <si>
    <t>dallap</t>
  </si>
  <si>
    <t>kbs</t>
  </si>
  <si>
    <t>elsimil</t>
  </si>
  <si>
    <t>rekap-keluarga</t>
  </si>
  <si>
    <t>krs-keluarga</t>
  </si>
  <si>
    <t>monitoring-krs</t>
  </si>
  <si>
    <t>catin</t>
  </si>
  <si>
    <t>ibu-hamil</t>
  </si>
  <si>
    <t>pascapersalinan</t>
  </si>
  <si>
    <t>baduta</t>
  </si>
  <si>
    <t>url</t>
  </si>
  <si>
    <t>https://newsiga-siga.bkkbn.go.id/#/yankbDetail/YanKB-Bulanan-Kec/Tabel1</t>
  </si>
  <si>
    <t>https://newsiga-siga.bkkbn.go.id/#/yankbDetail/YanKB-Bulanan-Kec/Tabel2</t>
  </si>
  <si>
    <t>https://newsiga-siga.bkkbn.go.id/#/yankbDetail/YanKB-Bulanan-Kec/Tabel3</t>
  </si>
  <si>
    <t>https://newsiga-siga.bkkbn.go.id/#/yankbDetail/YanKB-Bulanan-Kec/Tabel3A</t>
  </si>
  <si>
    <t>https://newsiga-siga.bkkbn.go.id/#/yankbDetail/YanKB-Bulanan-Kec/Tabel3B</t>
  </si>
  <si>
    <t>https://newsiga-siga.bkkbn.go.id/#/yankbDetail/YanKB-Bulanan-Kec/Tabel3C</t>
  </si>
  <si>
    <t>https://newsiga-siga.bkkbn.go.id/#/yankbDetail/YanKB-Bulanan-Kec/Tabel3D</t>
  </si>
  <si>
    <t>https://newsiga-siga.bkkbn.go.id/#/yankbDetail/YanKB-Bulanan-Kec/Tabel3E</t>
  </si>
  <si>
    <t>https://newsiga-siga.bkkbn.go.id/#/yankbDetail/YanKB-Bulanan-Kec/Tabel3F</t>
  </si>
  <si>
    <t>https://newsiga-siga.bkkbn.go.id/#/yankbDetail/YanKB-Bulanan-Kec/Tabel4</t>
  </si>
  <si>
    <t>https://newsiga-siga.bkkbn.go.id/#/yankbDetail/YanKB-Bulanan-Kec/Tabel5</t>
  </si>
  <si>
    <t>https://newsiga-siga.bkkbn.go.id/#/yankbDetail/YanKB-Bulanan-Kec/Tabel6</t>
  </si>
  <si>
    <t>https://newsiga-siga.bkkbn.go.id/#/yankbDetail/YanKB-Bulanan-Kec/Tabel7</t>
  </si>
  <si>
    <t>https://newsiga-siga.bkkbn.go.id/#/yankbDetail/YanKB-Bulanan-Kec/Tabel8</t>
  </si>
  <si>
    <t>https://newsiga-siga.bkkbn.go.id/#/yankbDetail/YanKB-Bulanan-Kec/Tabel9</t>
  </si>
  <si>
    <t>https://newsiga-siga.bkkbn.go.id/#/yankbDetail/YanKB-Bulanan-Kec/Tabel9A</t>
  </si>
  <si>
    <t>https://newsiga-siga.bkkbn.go.id/#/yankbDetail/YanKB-Bulanan-Kec/Tabel9B</t>
  </si>
  <si>
    <t>https://newsiga-siga.bkkbn.go.id/#/yankbDetail/YanKB-Bulanan-Kec/Tabel9C</t>
  </si>
  <si>
    <t>https://newsiga-siga.bkkbn.go.id/#/yankbDetail/YanKB-Bulanan-Kec/Tabel9D</t>
  </si>
  <si>
    <t>https://newsiga-siga.bkkbn.go.id/#/yankbDetail/YanKB-Bulanan-Kec/Tabel9E</t>
  </si>
  <si>
    <t>https://newsiga-siga.bkkbn.go.id/#/yankbDetail/YanKB-Bulanan-Kec/Tabel9F</t>
  </si>
  <si>
    <t>https://newsiga-siga.bkkbn.go.id/#/yankbDetail/YanKB-Bulanan-Kec/Tabel10</t>
  </si>
  <si>
    <t>https://newsiga-siga.bkkbn.go.id/#/yankbDetail/YanKB-Bulanan-Kec/Tabel10A</t>
  </si>
  <si>
    <t>https://newsiga-siga.bkkbn.go.id/#/yankbDetail/YanKB-Bulanan-Kec/Tabel10B</t>
  </si>
  <si>
    <t>https://newsiga-siga.bkkbn.go.id/#/yankbDetail/YanKB-Bulanan-Kec/Tabel10C</t>
  </si>
  <si>
    <t>https://newsiga-siga.bkkbn.go.id/#/yankbDetail/YanKB-Bulanan-Kec/Tabel10D</t>
  </si>
  <si>
    <t>https://newsiga-siga.bkkbn.go.id/#/yankbDetail/YanKB-Bulanan-Kec/Tabel10E</t>
  </si>
  <si>
    <t>https://newsiga-siga.bkkbn.go.id/#/yankbDetail/YanKB-Bulanan-Kec/Tabel10F</t>
  </si>
  <si>
    <t>https://newsiga-siga.bkkbn.go.id/#/yankbDetail/YanKB-Bulanan-Kec/Tabel11</t>
  </si>
  <si>
    <t>https://newsiga-siga.bkkbn.go.id/#/yankbDetail/YanKB-Bulanan-Kec/Tabel11A</t>
  </si>
  <si>
    <t>https://newsiga-siga.bkkbn.go.id/#/yankbDetail/YanKB-Bulanan-Kec/Tabel11ALanjut</t>
  </si>
  <si>
    <t>https://newsiga-siga.bkkbn.go.id/#/yankbDetail/YanKB-Bulanan-Kec/Tabel11Lanjut</t>
  </si>
  <si>
    <t>https://newsiga-siga.bkkbn.go.id/#/yankbDetail/YanKB-Bulanan-Kec/Tabel12</t>
  </si>
  <si>
    <t>https://newsiga-siga.bkkbn.go.id/#/yankbDetail/YanKB-Bulanan-Kec/Tabel12A</t>
  </si>
  <si>
    <t>https://newsiga-siga.bkkbn.go.id/#/yankbDetail/YanKB-Bulanan-Kec/Tabel12ALanjut</t>
  </si>
  <si>
    <t>https://newsiga-siga.bkkbn.go.id/#/yankbDetail/YanKB-Bulanan-Kec/Tabel12Lanjut</t>
  </si>
  <si>
    <t>https://newsiga-siga.bkkbn.go.id/#/yankbDetail/YanKB-Bulanan-Kec/Tabel13</t>
  </si>
  <si>
    <t>https://newsiga-siga.bkkbn.go.id/#/yankbDetail/YanKB-Bulanan-Kec/Tabel13A</t>
  </si>
  <si>
    <t>https://newsiga-siga.bkkbn.go.id/#/yankbDetail/YanKB-Bulanan-Kec/Tabel13ALanjut</t>
  </si>
  <si>
    <t>https://newsiga-siga.bkkbn.go.id/#/yankbDetail/YanKB-Bulanan-Kec/Tabel13Lanjut</t>
  </si>
  <si>
    <t>https://newsiga-siga.bkkbn.go.id/#/yankbDetail/YanKB-Bulanan-Kec/Tabel14</t>
  </si>
  <si>
    <t>https://newsiga-siga.bkkbn.go.id/#/yankbDetail/YanKB-Bulanan-Kec/Tabel15</t>
  </si>
  <si>
    <t>https://newsiga-siga.bkkbn.go.id/#/yankbDetail/YanKB-Bulanan-Kec/Tabel16</t>
  </si>
  <si>
    <t>https://newsiga-siga.bkkbn.go.id/#/yankbDetail/YanKB-Bulanan-Kec/Tabel17</t>
  </si>
  <si>
    <t>https://newsiga-siga.bkkbn.go.id/#/yankbDetail/YanKB-Bulanan-Kec/Tabel18</t>
  </si>
  <si>
    <t>https://newsiga-siga.bkkbn.go.id/#/yankbDetail/YanKB-Bulanan-Kec/Tabel19</t>
  </si>
  <si>
    <t>https://newsiga-siga.bkkbn.go.id/#/yankbDetail/YanKB-Bulanan-Kec/Tabel20</t>
  </si>
  <si>
    <t>https://newsiga-siga.bkkbn.go.id/#/yankbDetail/YanKB-Bulanan-Kec/Tabel21</t>
  </si>
  <si>
    <t>https://newsiga-siga.bkkbn.go.id/#/yankbDetail/YanKB-Bulanan-Kec/Tabel21A</t>
  </si>
  <si>
    <t>https://newsiga-siga.bkkbn.go.id/#/yankbDetail/YanKB-Bulanan-Kec/Tabel21B</t>
  </si>
  <si>
    <t>https://newsiga-siga.bkkbn.go.id/#/yankbDetail/YanKB-Bulanan-Kec/Tabel21C</t>
  </si>
  <si>
    <t>https://newsiga-siga.bkkbn.go.id/#/yankbDetail/YanKB-Bulanan-Kec/Tabel21D</t>
  </si>
  <si>
    <t>https://newsiga-siga.bkkbn.go.id/#/yankbDetail/YanKB-Bulanan-Kec/Tabel21E</t>
  </si>
  <si>
    <t>https://newsiga-siga.bkkbn.go.id/#/yankbDetail/YanKB-Bulanan-Kec/Tabel21F</t>
  </si>
  <si>
    <t>https://newsiga-siga.bkkbn.go.id/#/yankbDetail/YanKB-Bulanan-Kec/Tabel22</t>
  </si>
  <si>
    <t>https://newsiga-siga.bkkbn.go.id/#/yankbDetail/YanKB-Bulanan-Kec/Tabel23</t>
  </si>
  <si>
    <t>https://newsiga-siga.bkkbn.go.id/#/yankbDetail/YanKB-Bulanan-Kec/Tabel24</t>
  </si>
  <si>
    <t>https://newsiga-siga.bkkbn.go.id/#/yankbDetail/YanKB-Bulanan-Kec/Tabel25</t>
  </si>
  <si>
    <t>https://newsiga-siga.bkkbn.go.id/#/yankbDetail/YanKB-Bulanan-Kec/Tabel26</t>
  </si>
  <si>
    <t>https://newsiga-siga.bkkbn.go.id/#/yankbDetail/YanKB-Bulanan-Kec/Tabel27</t>
  </si>
  <si>
    <t>https://newsiga-siga.bkkbn.go.id/#/yankbDetail/YanKB-Bulanan-Kec/Tabel27A</t>
  </si>
  <si>
    <t>https://newsiga-siga.bkkbn.go.id/#/yankbDetail/YanKB-Bulanan-Kec/Tabel27B</t>
  </si>
  <si>
    <t>https://newsiga-siga.bkkbn.go.id/#/yankbDetail/YanKB-Bulanan-Kec/Tabel27C</t>
  </si>
  <si>
    <t>https://newsiga-siga.bkkbn.go.id/#/yankbDetail/YanKB-Bulanan-Kec/Tabel27D</t>
  </si>
  <si>
    <t>https://newsiga-siga.bkkbn.go.id/#/yankbDetail/YanKB-Bulanan-Kec/Tabel27E</t>
  </si>
  <si>
    <t>https://newsiga-siga.bkkbn.go.id/#/yankbDetail/YanKB-Bulanan-Kec/Tabel27F</t>
  </si>
  <si>
    <t>https://newsiga-siga.bkkbn.go.id/#/yankbDetail/YanKB-Bulanan-Kec/Tabel28</t>
  </si>
  <si>
    <t>https://newsiga-siga.bkkbn.go.id/#/yankbDetail/YanKB-Bulanan-Kec/Tabel28A</t>
  </si>
  <si>
    <t>https://newsiga-siga.bkkbn.go.id/#/yankbDetail/YanKB-Bulanan-Kec/Tabel28B</t>
  </si>
  <si>
    <t>https://newsiga-siga.bkkbn.go.id/#/yankbDetail/YanKB-Bulanan-Kec/Tabel28C</t>
  </si>
  <si>
    <t>https://newsiga-siga.bkkbn.go.id/#/yankbDetail/YanKB-Bulanan-Kec/Tabel28D</t>
  </si>
  <si>
    <t>https://newsiga-siga.bkkbn.go.id/#/yankbDetail/YanKB-Bulanan-Kec/Tabel28E</t>
  </si>
  <si>
    <t>https://newsiga-siga.bkkbn.go.id/#/yankbDetail/YanKB-Bulanan-Kec/Tabel28F</t>
  </si>
  <si>
    <t>https://newsiga-siga.bkkbn.go.id/#/yankbDetail/YanKB-Bulanan-Kec/Tabel29</t>
  </si>
  <si>
    <t>https://newsiga-siga.bkkbn.go.id/#/yankbDetail/YanKB-Bulanan-Kec/Tabel30</t>
  </si>
  <si>
    <t>https://newsiga-siga.bkkbn.go.id/#/yankbDetail/YanKB-Bulanan-Kec/Tabel31</t>
  </si>
  <si>
    <t>https://newsiga-siga.bkkbn.go.id/#/yankbDetail/YanKB-Bulanan-Kec/Tabel32</t>
  </si>
  <si>
    <t>https://newsiga-siga.bkkbn.go.id/#/yankbDetail/YanKB-Bulanan-Kec/Tabel33</t>
  </si>
  <si>
    <t>https://newsiga-siga.bkkbn.go.id/#/yankbDetail/YanKB-Bulanan-Kec/Tabel34</t>
  </si>
  <si>
    <t>https://newsiga-siga.bkkbn.go.id/#/yankbDetail/YanKB-Bulanan-Kec/Tabel35</t>
  </si>
  <si>
    <t>https://newsiga-siga.bkkbn.go.id/#/yankbDetail/YanKB-Bulanan-Kec/Tabel35A</t>
  </si>
  <si>
    <t>https://newsiga-siga.bkkbn.go.id/#/yankbDetail/YanKB-Bulanan-Kec/Tabel35B</t>
  </si>
  <si>
    <t>https://newsiga-siga.bkkbn.go.id/#/yankbDetail/YanKB-Bulanan-Kec/Tabel35C</t>
  </si>
  <si>
    <t>https://newsiga-siga.bkkbn.go.id/#/yankbDetail/YanKB-Bulanan-Kec/Tabel36</t>
  </si>
  <si>
    <t>https://newsiga-siga.bkkbn.go.id/#/yankbDetail/YanKB-Bulanan-Kec/Tabel36A</t>
  </si>
  <si>
    <t>https://newsiga-siga.bkkbn.go.id/#/yankbDetail/YanKB-Bulanan-Kec/Tabel36B</t>
  </si>
  <si>
    <t>https://newsiga-siga.bkkbn.go.id/#/yankbDetail/YanKB-Bulanan-Kec/Tabel36C</t>
  </si>
  <si>
    <t>https://newsiga-siga.bkkbn.go.id/#/yankbDetail/YanKB-Bulanan-Kec/Tabel37</t>
  </si>
  <si>
    <t>https://newsiga-siga.bkkbn.go.id/#/yankbDetail/YanKB-Bulanan-Kec/Tabel37A</t>
  </si>
  <si>
    <t>https://newsiga-siga.bkkbn.go.id/#/yankbDetail/YanKB-Bulanan-Kec/Tabel37B</t>
  </si>
  <si>
    <t>https://newsiga-siga.bkkbn.go.id/#/yankbDetail/YanKB-Bulanan-Kec/Tabel37C</t>
  </si>
  <si>
    <t>https://newsiga-siga.bkkbn.go.id/#/yankbDetail/YanKB-Bulanan-Kec/Tabel38</t>
  </si>
  <si>
    <t>https://newsiga-siga.bkkbn.go.id/#/yankbDetail/YanKB-Bulanan-Kec/Tabel38A</t>
  </si>
  <si>
    <t>https://newsiga-siga.bkkbn.go.id/#/yankbDetail/YanKB-Bulanan-Kec/Tabel38B</t>
  </si>
  <si>
    <t>https://newsiga-siga.bkkbn.go.id/#/yankbDetail/YanKB-Bulanan-Kec/Tabel38C</t>
  </si>
  <si>
    <t>https://newsiga-siga.bkkbn.go.id/#/dallapDetail/Dallap-Bulanan/Tabel1</t>
  </si>
  <si>
    <t>https://newsiga-siga.bkkbn.go.id/#/dallapDetail/Dallap-Bulanan/Tabel2</t>
  </si>
  <si>
    <t>https://newsiga-siga.bkkbn.go.id/#/dallapDetail/Dallap-Bulanan/Tabel3A</t>
  </si>
  <si>
    <t>https://newsiga-siga.bkkbn.go.id/#/dallapDetail/Dallap-Bulanan/Tabel3B</t>
  </si>
  <si>
    <t>https://newsiga-siga.bkkbn.go.id/#/dallapDetail/Dallap-Bulanan/Tabel3C</t>
  </si>
  <si>
    <t>https://newsiga-siga.bkkbn.go.id/#/dallapDetail/Dallap-Bulanan/Tabel3D</t>
  </si>
  <si>
    <t>https://newsiga-siga.bkkbn.go.id/#/dallapDetail/Dallap-Bulanan/Tabel3E</t>
  </si>
  <si>
    <t>https://newsiga-siga.bkkbn.go.id/#/dallapDetail/Dallap-Bulanan/Tabel3F</t>
  </si>
  <si>
    <t>https://newsiga-siga.bkkbn.go.id/#/dallapDetail/Dallap-Bulanan/Tabel4A</t>
  </si>
  <si>
    <t>https://newsiga-siga.bkkbn.go.id/#/dallapDetail/Dallap-Bulanan/Tabel4B</t>
  </si>
  <si>
    <t>https://newsiga-siga.bkkbn.go.id/#/dallapDetail/Dallap-Bulanan/Tabel5A</t>
  </si>
  <si>
    <t>https://newsiga-siga.bkkbn.go.id/#/dallapDetail/Dallap-Bulanan/Tabel5B</t>
  </si>
  <si>
    <t>https://newsiga-siga.bkkbn.go.id/#/dallapDetail/Dallap-Bulanan/Tabel6A</t>
  </si>
  <si>
    <t>https://newsiga-siga.bkkbn.go.id/#/dallapDetail/Dallap-Bulanan/Tabel6B</t>
  </si>
  <si>
    <t>https://newsiga-siga.bkkbn.go.id/#/dallapDetail/Dallap-Bulanan/Tabel6C</t>
  </si>
  <si>
    <t>https://newsiga-siga.bkkbn.go.id/#/dallapDetail/Dallap-Bulanan/Tabel7A</t>
  </si>
  <si>
    <t>https://newsiga-siga.bkkbn.go.id/#/dallapDetail/Dallap-Bulanan/Tabel7B</t>
  </si>
  <si>
    <t>https://newsiga-siga.bkkbn.go.id/#/dallapDetail/Dallap-Bulanan/Tabel7C</t>
  </si>
  <si>
    <t>https://newsiga-siga.bkkbn.go.id/#/dallapDetail/Dallap-Bulanan/Tabel8</t>
  </si>
  <si>
    <t>https://newsiga-siga.bkkbn.go.id/#/dallapDetail/Dallap-Bulanan/Tabel9</t>
  </si>
  <si>
    <t>https://newsiga-siga.bkkbn.go.id/#/dallapDetail/Dallap-Bulanan/Tabel10</t>
  </si>
  <si>
    <t>https://newsiga-siga.bkkbn.go.id/#/dallapDetail/Dallap-Bulanan/Tabel11</t>
  </si>
  <si>
    <t>https://newsiga-siga.bkkbn.go.id/#/dallapDetail/Dallap-Bulanan/Tabel12</t>
  </si>
  <si>
    <t>https://newsiga-siga.bkkbn.go.id/#/dallapDetail/Dallap-Bulanan/Tabel13</t>
  </si>
  <si>
    <t>https://newsiga-siga.bkkbn.go.id/#/dallapDetail/Dallap-Bulanan/Tabel14</t>
  </si>
  <si>
    <t>https://newsiga-siga.bkkbn.go.id/#/dallapDetail/Dallap-Bulanan/Tabel15</t>
  </si>
  <si>
    <t>https://newsiga-siga.bkkbn.go.id/#/dallapDetail/Dallap-Bulanan/Tabel16</t>
  </si>
  <si>
    <t>https://newsiga-siga.bkkbn.go.id/#/dallapDetail/Dallap-Bulanan/Tabel17</t>
  </si>
  <si>
    <t>https://newsiga-siga.bkkbn.go.id/#/dallapDetail/Dallap-Bulanan/Tabel18</t>
  </si>
  <si>
    <t>https://newsiga-siga.bkkbn.go.id/#/dallapDetail/Dallap-Bulanan/Tabel19</t>
  </si>
  <si>
    <t>https://newsiga-siga.bkkbn.go.id/#/dallapDetail/Dallap-Bulanan/Tabel20</t>
  </si>
  <si>
    <t>Nama</t>
  </si>
  <si>
    <t>https://newsiga-siga.bkkbn.go.id/#/catinDetail/Catin-Bulanan/Tabel1</t>
  </si>
  <si>
    <t>https://newsiga-siga.bkkbn.go.id/#/catinDetail/Catin-Bulanan/Tabel2</t>
  </si>
  <si>
    <t>https://newsiga-siga.bkkbn.go.id/#/catinDetail/Catin-Bulanan/Tabel3</t>
  </si>
  <si>
    <t>https://newsiga-siga.bkkbn.go.id/#/catinDetail/Catin-Bulanan/Tabel4</t>
  </si>
  <si>
    <t>https://newsiga-siga.bkkbn.go.id/#/bumilDetail/Bumil-Bulanan/Tabel1</t>
  </si>
  <si>
    <t>https://newsiga-siga.bkkbn.go.id/#/bumilDetail/Bumil-Bulanan/Tabel2</t>
  </si>
  <si>
    <t>https://newsiga-siga.bkkbn.go.id/#/bumilDetail/Bumil-Bulanan/Tabel3</t>
  </si>
  <si>
    <t>https://newsiga-siga.bkkbn.go.id/#/pascaDetail/Pascasalin-Bulanan/Tabel1</t>
  </si>
  <si>
    <t>https://newsiga-siga.bkkbn.go.id/#/pascaDetail/Pascasalin-Bulanan/Tabel2</t>
  </si>
  <si>
    <t>https://newsiga-siga.bkkbn.go.id/#/pascaDetail/Pascasalin-Bulanan/Tabel3</t>
  </si>
  <si>
    <t>https://newsiga-siga.bkkbn.go.id/#/badutaDetail/Baduta-Bulanan/Tabel1</t>
  </si>
  <si>
    <t>https://newsiga-siga.bkkbn.go.id/#/badutaDetail/Baduta-Bulanan/Tabel2</t>
  </si>
  <si>
    <t>https://newsiga-siga.bkkbn.go.id/#/badutaDetail/Baduta-Bulanan/Tabel3</t>
  </si>
  <si>
    <t>https://newsiga-siga.bkkbn.go.id/#/badutaDetail/Baduta-Bulanan/Tabel4</t>
  </si>
  <si>
    <t>https://newsiga-siga.bkkbn.go.id/#/badutaDetail/Baduta-Bulanan/Tabel5</t>
  </si>
  <si>
    <t>https://newsiga-siga.bkkbn.go.id/#/form/rekapitulasi</t>
  </si>
  <si>
    <t>https://newsiga-siga.bkkbn.go.id/#/form/stunting</t>
  </si>
  <si>
    <t>https://newsiga-siga.bkkbn.go.id/#/monitoring-krs</t>
  </si>
  <si>
    <t>https://newsiga-siga.bkkbn.go.id/#/elsimil/catin</t>
  </si>
  <si>
    <t>https://newsiga-siga.bkkbn.go.id/#/elsimil/bumil</t>
  </si>
  <si>
    <t>https://newsiga-siga.bkkbn.go.id/#/elsimil/pascasalin</t>
  </si>
  <si>
    <t>https://newsiga-siga.bkkbn.go.id/#/elsimil/baduta</t>
  </si>
  <si>
    <t>https://newsiga-siga.bkkbn.go.id/#/krsDetail/STUNTING/Tabel3</t>
  </si>
  <si>
    <t>https://newsiga-siga.bkkbn.go.id/#/krsDetail/STUNTING/Tabel4</t>
  </si>
  <si>
    <t>https://newsiga-siga.bkkbn.go.id/#/krsDetail/STUNTING/Tabel5</t>
  </si>
  <si>
    <t>nama</t>
  </si>
  <si>
    <t>Tabel1 Catin</t>
  </si>
  <si>
    <t>Tabel2 Catin</t>
  </si>
  <si>
    <t>Tabel3 Catin</t>
  </si>
  <si>
    <t>Tabel4 Catin</t>
  </si>
  <si>
    <t>Tabel1 Bumil</t>
  </si>
  <si>
    <t>Tabel2 Bumil</t>
  </si>
  <si>
    <t>Tabel3 Bumil</t>
  </si>
  <si>
    <t>Tabel1 Pascasalin</t>
  </si>
  <si>
    <t>Tabel2 Pascasalin</t>
  </si>
  <si>
    <t>Tabel3 Pascasalin</t>
  </si>
  <si>
    <t>Tabel1 Baduta</t>
  </si>
  <si>
    <t>Tabel2 Baduta</t>
  </si>
  <si>
    <t>Tabel3 Baduta</t>
  </si>
  <si>
    <t>Tabel4 Baduta</t>
  </si>
  <si>
    <t>Tabel5 Baduta</t>
  </si>
  <si>
    <t>https://newsiga-siga.bkkbn.go.id/#/yankbDetail/YanKB-Tahunan-Kec/Tabel1</t>
  </si>
  <si>
    <t>https://newsiga-siga.bkkbn.go.id/#/yankbDetail/YanKB-Tahunan-Kec/Tabel2</t>
  </si>
  <si>
    <t>https://newsiga-siga.bkkbn.go.id/#/yankbDetail/YanKB-Tahunan-Kec/Tabel3</t>
  </si>
  <si>
    <t>https://newsiga-siga.bkkbn.go.id/#/yankbDetail/YanKB-Tahunan-Kec/Tabel3A</t>
  </si>
  <si>
    <t>https://newsiga-siga.bkkbn.go.id/#/yankbDetail/YanKB-Tahunan-Kec/Tabel3B</t>
  </si>
  <si>
    <t>https://newsiga-siga.bkkbn.go.id/#/yankbDetail/YanKB-Tahunan-Kec/Tabel3C</t>
  </si>
  <si>
    <t>https://newsiga-siga.bkkbn.go.id/#/yankbDetail/YanKB-Tahunan-Kec/Tabel3D</t>
  </si>
  <si>
    <t>https://newsiga-siga.bkkbn.go.id/#/yankbDetail/YanKB-Tahunan-Kec/Tabel3E</t>
  </si>
  <si>
    <t>https://newsiga-siga.bkkbn.go.id/#/yankbDetail/YanKB-Tahunan-Kec/Tabel3F</t>
  </si>
  <si>
    <t>https://newsiga-siga.bkkbn.go.id/#/yankbDetail/YanKB-Tahunan-Kec/Tabel4</t>
  </si>
  <si>
    <t>https://newsiga-siga.bkkbn.go.id/#/yankbDetail/YanKB-Tahunan-Kec/Tabel5</t>
  </si>
  <si>
    <t>https://newsiga-siga.bkkbn.go.id/#/yankbDetail/YanKB-Tahunan-Kec/Tabel6</t>
  </si>
  <si>
    <t>https://newsiga-siga.bkkbn.go.id/#/yankbDetail/YanKB-Tahunan-Kec/Tabel7</t>
  </si>
  <si>
    <t>https://newsiga-siga.bkkbn.go.id/#/yankbDetail/YanKB-Tahunan-Kec/Tabel8</t>
  </si>
  <si>
    <t>https://newsiga-siga.bkkbn.go.id/#/yankbDetail/YanKB-Tahunan-Kec/Tabel9</t>
  </si>
  <si>
    <t>https://newsiga-siga.bkkbn.go.id/#/yankbDetail/YanKB-Tahunan-Kec/Tabel9A</t>
  </si>
  <si>
    <t>https://newsiga-siga.bkkbn.go.id/#/yankbDetail/YanKB-Tahunan-Kec/Tabel9B</t>
  </si>
  <si>
    <t>https://newsiga-siga.bkkbn.go.id/#/yankbDetail/YanKB-Tahunan-Kec/Tabel9C</t>
  </si>
  <si>
    <t>https://newsiga-siga.bkkbn.go.id/#/yankbDetail/YanKB-Tahunan-Kec/Tabel9D</t>
  </si>
  <si>
    <t>https://newsiga-siga.bkkbn.go.id/#/yankbDetail/YanKB-Tahunan-Kec/Tabel9E</t>
  </si>
  <si>
    <t>https://newsiga-siga.bkkbn.go.id/#/yankbDetail/YanKB-Tahunan-Kec/Tabel9F</t>
  </si>
  <si>
    <t>https://newsiga-siga.bkkbn.go.id/#/yankbDetail/YanKB-Tahunan-Kec/Tabel10</t>
  </si>
  <si>
    <t>https://newsiga-siga.bkkbn.go.id/#/yankbDetail/YanKB-Tahunan-Kec/Tabel10A</t>
  </si>
  <si>
    <t>https://newsiga-siga.bkkbn.go.id/#/yankbDetail/YanKB-Tahunan-Kec/Tabel10B</t>
  </si>
  <si>
    <t>https://newsiga-siga.bkkbn.go.id/#/yankbDetail/YanKB-Tahunan-Kec/Tabel10C</t>
  </si>
  <si>
    <t>https://newsiga-siga.bkkbn.go.id/#/yankbDetail/YanKB-Tahunan-Kec/Tabel10D</t>
  </si>
  <si>
    <t>https://newsiga-siga.bkkbn.go.id/#/yankbDetail/YanKB-Tahunan-Kec/Tabel10E</t>
  </si>
  <si>
    <t>https://newsiga-siga.bkkbn.go.id/#/yankbDetail/YanKB-Tahunan-Kec/Tabel10F</t>
  </si>
  <si>
    <t>https://newsiga-siga.bkkbn.go.id/#/yankbDetail/YanKB-Tahunan-Kec/Tabel11</t>
  </si>
  <si>
    <t>https://newsiga-siga.bkkbn.go.id/#/yankbDetail/YanKB-Tahunan-Kec/Tabel11A</t>
  </si>
  <si>
    <t>https://newsiga-siga.bkkbn.go.id/#/yankbDetail/YanKB-Tahunan-Kec/Tabel11ALanjut</t>
  </si>
  <si>
    <t>https://newsiga-siga.bkkbn.go.id/#/yankbDetail/YanKB-Tahunan-Kec/Tabel11Lanjut</t>
  </si>
  <si>
    <t>https://newsiga-siga.bkkbn.go.id/#/yankbDetail/YanKB-Tahunan-Kec/Tabel12</t>
  </si>
  <si>
    <t>https://newsiga-siga.bkkbn.go.id/#/yankbDetail/YanKB-Tahunan-Kec/Tabel12A</t>
  </si>
  <si>
    <t>https://newsiga-siga.bkkbn.go.id/#/yankbDetail/YanKB-Tahunan-Kec/Tabel12ALanjut</t>
  </si>
  <si>
    <t>https://newsiga-siga.bkkbn.go.id/#/yankbDetail/YanKB-Tahunan-Kec/Tabel12Lanjut</t>
  </si>
  <si>
    <t>https://newsiga-siga.bkkbn.go.id/#/yankbDetail/YanKB-Tahunan-Kec/Tabel13</t>
  </si>
  <si>
    <t>https://newsiga-siga.bkkbn.go.id/#/yankbDetail/YanKB-Tahunan-Kec/Tabel13A</t>
  </si>
  <si>
    <t>https://newsiga-siga.bkkbn.go.id/#/yankbDetail/YanKB-Tahunan-Kec/Tabel13ALanjut</t>
  </si>
  <si>
    <t>https://newsiga-siga.bkkbn.go.id/#/yankbDetail/YanKB-Tahunan-Kec/Tabel13Lanjut</t>
  </si>
  <si>
    <t>https://newsiga-siga.bkkbn.go.id/#/yankbDetail/YanKB-Tahunan-Kec/Tabel14</t>
  </si>
  <si>
    <t>https://newsiga-siga.bkkbn.go.id/#/yankbDetail/YanKB-Tahunan-Kec/Tabel15</t>
  </si>
  <si>
    <t>https://newsiga-siga.bkkbn.go.id/#/yankbDetail/YanKB-Tahunan-Kec/Tabel16</t>
  </si>
  <si>
    <t>https://newsiga-siga.bkkbn.go.id/#/yankbDetail/YanKB-Tahunan-Kec/Tabel17</t>
  </si>
  <si>
    <t>https://newsiga-siga.bkkbn.go.id/#/yankbDetail/YanKB-Tahunan-Kec/Tabel18</t>
  </si>
  <si>
    <t>https://newsiga-siga.bkkbn.go.id/#/yankbDetail/YanKB-Tahunan-Kec/Tabel19</t>
  </si>
  <si>
    <t>https://newsiga-siga.bkkbn.go.id/#/yankbDetail/YanKB-Tahunan-Kec/Tabel20</t>
  </si>
  <si>
    <t>https://newsiga-siga.bkkbn.go.id/#/yankbDetail/YanKB-Tahunan-Kec/Tabel21</t>
  </si>
  <si>
    <t>https://newsiga-siga.bkkbn.go.id/#/yankbDetail/YanKB-Tahunan-Kec/Tabel21A</t>
  </si>
  <si>
    <t>https://newsiga-siga.bkkbn.go.id/#/yankbDetail/YanKB-Tahunan-Kec/Tabel21B</t>
  </si>
  <si>
    <t>https://newsiga-siga.bkkbn.go.id/#/yankbDetail/YanKB-Tahunan-Kec/Tabel21C</t>
  </si>
  <si>
    <t>https://newsiga-siga.bkkbn.go.id/#/yankbDetail/YanKB-Tahunan-Kec/Tabel21D</t>
  </si>
  <si>
    <t>https://newsiga-siga.bkkbn.go.id/#/yankbDetail/YanKB-Tahunan-Kec/Tabel21E</t>
  </si>
  <si>
    <t>https://newsiga-siga.bkkbn.go.id/#/yankbDetail/YanKB-Tahunan-Kec/Tabel21F</t>
  </si>
  <si>
    <t>https://newsiga-siga.bkkbn.go.id/#/yankbDetail/YanKB-Tahunan-Kec/Tabel22</t>
  </si>
  <si>
    <t>https://newsiga-siga.bkkbn.go.id/#/yankbDetail/YanKB-Tahunan-Kec/Tabel23</t>
  </si>
  <si>
    <t>https://newsiga-siga.bkkbn.go.id/#/yankbDetail/YanKB-Tahunan-Kec/Tabel24</t>
  </si>
  <si>
    <t>https://newsiga-siga.bkkbn.go.id/#/yankbDetail/YanKB-Tahunan-Kec/Tabel25</t>
  </si>
  <si>
    <t>https://newsiga-siga.bkkbn.go.id/#/yankbDetail/YanKB-Tahunan-Kec/Tabel26</t>
  </si>
  <si>
    <t>https://newsiga-siga.bkkbn.go.id/#/yankbDetail/YanKB-Tahunan-Kec/Tabel27</t>
  </si>
  <si>
    <t>https://newsiga-siga.bkkbn.go.id/#/yankbDetail/YanKB-Tahunan-Kec/Tabel27A</t>
  </si>
  <si>
    <t>https://newsiga-siga.bkkbn.go.id/#/yankbDetail/YanKB-Tahunan-Kec/Tabel27B</t>
  </si>
  <si>
    <t>https://newsiga-siga.bkkbn.go.id/#/yankbDetail/YanKB-Tahunan-Kec/Tabel27C</t>
  </si>
  <si>
    <t>https://newsiga-siga.bkkbn.go.id/#/yankbDetail/YanKB-Tahunan-Kec/Tabel27D</t>
  </si>
  <si>
    <t>https://newsiga-siga.bkkbn.go.id/#/yankbDetail/YanKB-Tahunan-Kec/Tabel27E</t>
  </si>
  <si>
    <t>https://newsiga-siga.bkkbn.go.id/#/yankbDetail/YanKB-Tahunan-Kec/Tabel27F</t>
  </si>
  <si>
    <t>https://newsiga-siga.bkkbn.go.id/#/yankbDetail/YanKB-Tahunan-Kec/Tabel28</t>
  </si>
  <si>
    <t>https://newsiga-siga.bkkbn.go.id/#/yankbDetail/YanKB-Tahunan-Kec/Tabel28A</t>
  </si>
  <si>
    <t>https://newsiga-siga.bkkbn.go.id/#/yankbDetail/YanKB-Tahunan-Kec/Tabel28B</t>
  </si>
  <si>
    <t>https://newsiga-siga.bkkbn.go.id/#/yankbDetail/YanKB-Tahunan-Kec/Tabel28C</t>
  </si>
  <si>
    <t>https://newsiga-siga.bkkbn.go.id/#/yankbDetail/YanKB-Tahunan-Kec/Tabel28D</t>
  </si>
  <si>
    <t>https://newsiga-siga.bkkbn.go.id/#/yankbDetail/YanKB-Tahunan-Kec/Tabel28E</t>
  </si>
  <si>
    <t>https://newsiga-siga.bkkbn.go.id/#/yankbDetail/YanKB-Tahunan-Kec/Tabel28F</t>
  </si>
  <si>
    <t>https://newsiga-siga.bkkbn.go.id/#/yankbDetail/YanKB-Tahunan-Kec/Tabel29</t>
  </si>
  <si>
    <t>https://newsiga-siga.bkkbn.go.id/#/yankbDetail/YanKB-Tahunan-Kec/Tabel30</t>
  </si>
  <si>
    <t>https://newsiga-siga.bkkbn.go.id/#/yankbDetail/YanKB-Tahunan-Kec/Tabel31</t>
  </si>
  <si>
    <t>https://newsiga-siga.bkkbn.go.id/#/yankbDetail/YanKB-Tahunan-Kec/Tabel32</t>
  </si>
  <si>
    <t>https://newsiga-siga.bkkbn.go.id/#/yankbDetail/YanKB-Tahunan-Kec/Tabel33</t>
  </si>
  <si>
    <t>https://newsiga-siga.bkkbn.go.id/#/yankbDetail/YanKB-Tahunan-Kec/Tabel34</t>
  </si>
  <si>
    <t>https://newsiga-siga.bkkbn.go.id/#/yankbDetail/YanKB-Tahunan-Kec/Tabel35</t>
  </si>
  <si>
    <t>https://newsiga-siga.bkkbn.go.id/#/yankbDetail/YanKB-Tahunan-Kec/Tabel35A</t>
  </si>
  <si>
    <t>https://newsiga-siga.bkkbn.go.id/#/yankbDetail/YanKB-Tahunan-Kec/Tabel35B</t>
  </si>
  <si>
    <t>https://newsiga-siga.bkkbn.go.id/#/yankbDetail/YanKB-Tahunan-Kec/Tabel35C</t>
  </si>
  <si>
    <t>https://newsiga-siga.bkkbn.go.id/#/yankbDetail/YanKB-Tahunan-Kec/Tabel36</t>
  </si>
  <si>
    <t>https://newsiga-siga.bkkbn.go.id/#/yankbDetail/YanKB-Tahunan-Kec/Tabel36A</t>
  </si>
  <si>
    <t>https://newsiga-siga.bkkbn.go.id/#/yankbDetail/YanKB-Tahunan-Kec/Tabel36B</t>
  </si>
  <si>
    <t>https://newsiga-siga.bkkbn.go.id/#/yankbDetail/YanKB-Tahunan-Kec/Tabel36C</t>
  </si>
  <si>
    <t>https://newsiga-siga.bkkbn.go.id/#/yankbDetail/YanKB-Tahunan-Kec/Tabel37</t>
  </si>
  <si>
    <t>https://newsiga-siga.bkkbn.go.id/#/yankbDetail/YanKB-Tahunan-Kec/Tabel37A</t>
  </si>
  <si>
    <t>https://newsiga-siga.bkkbn.go.id/#/yankbDetail/YanKB-Tahunan-Kec/Tabel37B</t>
  </si>
  <si>
    <t>https://newsiga-siga.bkkbn.go.id/#/yankbDetail/YanKB-Tahunan-Kec/Tabel37C</t>
  </si>
  <si>
    <t>https://newsiga-siga.bkkbn.go.id/#/yankbDetail/YanKB-Tahunan-Kec/Tabel38</t>
  </si>
  <si>
    <t>https://newsiga-siga.bkkbn.go.id/#/yankbDetail/YanKB-Tahunan-Kec/Tabel38A</t>
  </si>
  <si>
    <t>https://newsiga-siga.bkkbn.go.id/#/yankbDetail/YanKB-Tahunan-Kec/Tabel38B</t>
  </si>
  <si>
    <t>https://newsiga-siga.bkkbn.go.id/#/yankbDetail/YanKB-Tahunan-Kec/Tabel38C</t>
  </si>
  <si>
    <t>https://newsiga-siga.bkkbn.go.id/#/dallapDetail/Dallap-Tahunan/Tabel1</t>
  </si>
  <si>
    <t>https://newsiga-siga.bkkbn.go.id/#/dallapDetail/Dallap-Tahunan/Tabel3A</t>
  </si>
  <si>
    <t>https://newsiga-siga.bkkbn.go.id/#/dallapDetail/Dallap-Tahunan/Tabel3B</t>
  </si>
  <si>
    <t>https://newsiga-siga.bkkbn.go.id/#/dallapDetail/Dallap-Tahunan/Tabel3C</t>
  </si>
  <si>
    <t>https://newsiga-siga.bkkbn.go.id/#/dallapDetail/Dallap-Tahunan/Tabel4A</t>
  </si>
  <si>
    <t>https://newsiga-siga.bkkbn.go.id/#/dallapDetail/Dallap-Tahunan/Tabel4B</t>
  </si>
  <si>
    <t>https://newsiga-siga.bkkbn.go.id/#/dallapDetail/Dallap-Tahunan/Tabel5A</t>
  </si>
  <si>
    <t>https://newsiga-siga.bkkbn.go.id/#/dallapDetail/Dallap-Tahunan/Tabel5B</t>
  </si>
  <si>
    <t>https://newsiga-siga.bkkbn.go.id/#/dallapDetail/Dallap-Tahunan/Tabel6A</t>
  </si>
  <si>
    <t>https://newsiga-siga.bkkbn.go.id/#/dallapDetail/Dallap-Tahunan/Tabel6B</t>
  </si>
  <si>
    <t>https://newsiga-siga.bkkbn.go.id/#/dallapDetail/Dallap-Tahunan/Tabel7A</t>
  </si>
  <si>
    <t>https://newsiga-siga.bkkbn.go.id/#/dallapDetail/Dallap-Tahunan/Tabel7B</t>
  </si>
  <si>
    <t>https://newsiga-siga.bkkbn.go.id/#/dallapDetail/Dallap-Tahunan/Tabel16</t>
  </si>
  <si>
    <t>https://newsiga-siga.bkkbn.go.id/#/dallapDetail/Dallap-Tahunan/Tabel17</t>
  </si>
  <si>
    <t>https://newsiga-siga.bkkbn.go.id/#/dallapDetail/Dallap-Tahunan/Tabel18</t>
  </si>
  <si>
    <t>https://newsiga-siga.bkkbn.go.id/#/dallapDetail/Dallap-Tahunan/Tabel19</t>
  </si>
  <si>
    <t>https://newsiga-siga.bkkbn.go.id/#/catinDetail/Catin-Tahunan/Tabel1</t>
  </si>
  <si>
    <t>https://newsiga-siga.bkkbn.go.id/#/catinDetail/Catin-Tahunan/Tabel2</t>
  </si>
  <si>
    <t>https://newsiga-siga.bkkbn.go.id/#/catinDetail/Catin-Tahunan/Tabel3</t>
  </si>
  <si>
    <t>https://newsiga-siga.bkkbn.go.id/#/catinDetail/Catin-Tahunan/Tabel4</t>
  </si>
  <si>
    <t>https://newsiga-siga.bkkbn.go.id/#/bumilDetail/Bumil-Tahunan/Tabel1</t>
  </si>
  <si>
    <t>https://newsiga-siga.bkkbn.go.id/#/bumilDetail/Bumil-Tahunan/Tabel2</t>
  </si>
  <si>
    <t>https://newsiga-siga.bkkbn.go.id/#/bumilDetail/Bumil-Tahunan/Tabel3</t>
  </si>
  <si>
    <t>https://newsiga-siga.bkkbn.go.id/#/pascaDetail/Pascasalin-Tahunan/Tabel1</t>
  </si>
  <si>
    <t>https://newsiga-siga.bkkbn.go.id/#/pascaDetail/Pascasalin-Tahunan/Tabel2</t>
  </si>
  <si>
    <t>https://newsiga-siga.bkkbn.go.id/#/pascaDetail/Pascasalin-Tahunan/Tabel3</t>
  </si>
  <si>
    <t>https://newsiga-siga.bkkbn.go.id/#/badutaDetail/Baduta-Tahunan/Tabel1</t>
  </si>
  <si>
    <t>https://newsiga-siga.bkkbn.go.id/#/badutaDetail/Baduta-Tahunan/Tabel2</t>
  </si>
  <si>
    <t>https://newsiga-siga.bkkbn.go.id/#/badutaDetail/Baduta-Tahunan/Tabel3</t>
  </si>
  <si>
    <t>https://newsiga-siga.bkkbn.go.id/#/badutaDetail/Baduta-Tahunan/Tabel4</t>
  </si>
  <si>
    <t>https://newsiga-siga.bkkbn.go.id/#/badutaDetail/Baduta-Tahunan/Tabel5</t>
  </si>
  <si>
    <t>https://newsiga-siga.bkkbn.go.id/#/dallapDetail/Dallap-Tahunan/Tabel2A</t>
  </si>
  <si>
    <t>https://newsiga-siga.bkkbn.go.id/#/dallapDetail/Dallap-Tahunan/Tabel2ALanjut</t>
  </si>
  <si>
    <t>https://newsiga-siga.bkkbn.go.id/#/dallapDetail/Dallap-Tahunan/Tabel2B</t>
  </si>
  <si>
    <t>https://newsiga-siga.bkkbn.go.id/#/dallapDetail/Dallap-Tahunan/Tabel2C</t>
  </si>
  <si>
    <t>https://newsiga-siga.bkkbn.go.id/#/dallapDetail/Dallap-Tahunan/Tabel4ALanjut</t>
  </si>
  <si>
    <t>https://newsiga-siga.bkkbn.go.id/#/dallapDetail/Dallap-Tahunan/Tabel5ALanjut</t>
  </si>
  <si>
    <t>https://newsiga-siga.bkkbn.go.id/#/dallapDetail/Dallap-Tahunan/Tabel8A</t>
  </si>
  <si>
    <t>https://newsiga-siga.bkkbn.go.id/#/dallapDetail/Dallap-Tahunan/Tabel8B</t>
  </si>
  <si>
    <t>https://newsiga-siga.bkkbn.go.id/#/dallapDetail/Dallap-Tahunan/Tabel8C</t>
  </si>
  <si>
    <t>https://newsiga-siga.bkkbn.go.id/#/dallapDetail/Dallap-Tahunan/Tabel9A</t>
  </si>
  <si>
    <t>https://newsiga-siga.bkkbn.go.id/#/dallapDetail/Dallap-Tahunan/Tabel9B</t>
  </si>
  <si>
    <t>https://newsiga-siga.bkkbn.go.id/#/dallapDetail/Dallap-Tahunan/Tabel9C</t>
  </si>
  <si>
    <t>https://newsiga-siga.bkkbn.go.id/#/dallapDetail/Dallap-Tahunan/Tabel10A</t>
  </si>
  <si>
    <t>https://newsiga-siga.bkkbn.go.id/#/dallapDetail/Dallap-Tahunan/Tabel10B</t>
  </si>
  <si>
    <t>https://newsiga-siga.bkkbn.go.id/#/dallapDetail/Dallap-Tahunan/Tabel10C</t>
  </si>
  <si>
    <t>https://newsiga-siga.bkkbn.go.id/#/dallapDetail/Dallap-Tahunan/Tabel10D</t>
  </si>
  <si>
    <t>https://newsiga-siga.bkkbn.go.id/#/dallapDetail/Dallap-Tahunan/Tabel11A</t>
  </si>
  <si>
    <t>https://newsiga-siga.bkkbn.go.id/#/dallapDetail/Dallap-Tahunan/Tabel11ALanjut</t>
  </si>
  <si>
    <t>https://newsiga-siga.bkkbn.go.id/#/dallapDetail/Dallap-Tahunan/Tabel11B</t>
  </si>
  <si>
    <t>https://newsiga-siga.bkkbn.go.id/#/dallapDetail/Dallap-Tahunan/Tabel11C</t>
  </si>
  <si>
    <t>https://newsiga-siga.bkkbn.go.id/#/dallapDetail/Dallap-Tahunan/Tabel12A</t>
  </si>
  <si>
    <t>https://newsiga-siga.bkkbn.go.id/#/dallapDetail/Dallap-Tahunan/Tabel12B</t>
  </si>
  <si>
    <t>https://newsiga-siga.bkkbn.go.id/#/dallapDetail/Dallap-Tahunan/Tabel13A</t>
  </si>
  <si>
    <t>https://newsiga-siga.bkkbn.go.id/#/dallapDetail/Dallap-Tahunan/Tabel13B</t>
  </si>
  <si>
    <t>https://newsiga-siga.bkkbn.go.id/#/dallapDetail/Dallap-Tahunan/Tabel13C</t>
  </si>
  <si>
    <t>https://newsiga-siga.bkkbn.go.id/#/dallapDetail/Dallap-Tahunan/Tabel13D</t>
  </si>
  <si>
    <t>https://newsiga-siga.bkkbn.go.id/#/dallapDetail/Dallap-Tahunan/Tabel14A</t>
  </si>
  <si>
    <t>https://newsiga-siga.bkkbn.go.id/#/dallapDetail/Dallap-Tahunan/Tabel14B</t>
  </si>
  <si>
    <t>https://newsiga-siga.bkkbn.go.id/#/dallapDetail/Dallap-Tahunan/Tabel14C</t>
  </si>
  <si>
    <t>https://newsiga-siga.bkkbn.go.id/#/dallapDetail/Dallap-Tahunan/Tabel15A</t>
  </si>
  <si>
    <t>https://newsiga-siga.bkkbn.go.id/#/dallapDetail/Dallap-Tahunan/Tabel15ALanjut</t>
  </si>
  <si>
    <t>https://newsiga-siga.bkkbn.go.id/#/dallapDetail/Dallap-Tahunan/Tabel15B</t>
  </si>
  <si>
    <t>https://newsiga-siga.bkkbn.go.id/#/dallapDetail/Dallap-Tahunan/Tabel15C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</si>
</sst>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4"/>
      <color theme="1"/>
      <name val="Courier New"/>
      <family val="1"/>
    </font>
    <font>
      <sz val="8"/>
      <name val="Aptos Narrow"/>
      <family val="2"/>
      <scheme val="minor"/>
    </font>
    <font>
      <sz val="14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2CA2-EC01-2A44-BBB2-244EAE8BA78F}">
  <dimension ref="A1:C213"/>
  <sheetViews>
    <sheetView tabSelected="1" topLeftCell="A139" workbookViewId="0">
      <selection activeCell="G143" sqref="G143"/>
    </sheetView>
  </sheetViews>
  <sheetFormatPr baseColWidth="10" defaultRowHeight="16" x14ac:dyDescent="0.2"/>
  <cols>
    <col min="1" max="1" width="19.6640625" customWidth="1"/>
    <col min="2" max="2" width="69" customWidth="1"/>
    <col min="3" max="3" width="25.5" customWidth="1"/>
  </cols>
  <sheetData>
    <row r="1" spans="1:3" x14ac:dyDescent="0.2">
      <c r="A1" s="1" t="s">
        <v>0</v>
      </c>
      <c r="B1" s="1" t="s">
        <v>12</v>
      </c>
      <c r="C1" t="s">
        <v>165</v>
      </c>
    </row>
    <row r="2" spans="1:3" ht="19" x14ac:dyDescent="0.25">
      <c r="A2" s="4" t="s">
        <v>1</v>
      </c>
      <c r="B2" s="1" t="s">
        <v>181</v>
      </c>
      <c r="C2" s="2" t="str">
        <f>_xlfn.TEXTAFTER(B2,"/",-1)</f>
        <v>Tabel1</v>
      </c>
    </row>
    <row r="3" spans="1:3" ht="19" x14ac:dyDescent="0.25">
      <c r="A3" s="4"/>
      <c r="B3" s="1" t="s">
        <v>182</v>
      </c>
      <c r="C3" s="2" t="str">
        <f t="shared" ref="C3:C48" si="0">_xlfn.TEXTAFTER(B3,"/",-1)</f>
        <v>Tabel2</v>
      </c>
    </row>
    <row r="4" spans="1:3" ht="19" x14ac:dyDescent="0.25">
      <c r="A4" s="4"/>
      <c r="B4" s="1" t="s">
        <v>183</v>
      </c>
      <c r="C4" s="2" t="str">
        <f t="shared" si="0"/>
        <v>Tabel3</v>
      </c>
    </row>
    <row r="5" spans="1:3" ht="19" x14ac:dyDescent="0.25">
      <c r="A5" s="4"/>
      <c r="B5" s="1" t="s">
        <v>184</v>
      </c>
      <c r="C5" s="2" t="str">
        <f t="shared" si="0"/>
        <v>Tabel3A</v>
      </c>
    </row>
    <row r="6" spans="1:3" ht="19" x14ac:dyDescent="0.25">
      <c r="A6" s="4"/>
      <c r="B6" s="1" t="s">
        <v>185</v>
      </c>
      <c r="C6" s="2" t="str">
        <f t="shared" si="0"/>
        <v>Tabel3B</v>
      </c>
    </row>
    <row r="7" spans="1:3" ht="19" x14ac:dyDescent="0.25">
      <c r="A7" s="4"/>
      <c r="B7" s="1" t="s">
        <v>186</v>
      </c>
      <c r="C7" s="2" t="str">
        <f t="shared" si="0"/>
        <v>Tabel3C</v>
      </c>
    </row>
    <row r="8" spans="1:3" ht="19" x14ac:dyDescent="0.25">
      <c r="A8" s="4"/>
      <c r="B8" s="1" t="s">
        <v>187</v>
      </c>
      <c r="C8" s="2" t="str">
        <f t="shared" si="0"/>
        <v>Tabel3D</v>
      </c>
    </row>
    <row r="9" spans="1:3" ht="19" x14ac:dyDescent="0.25">
      <c r="A9" s="4"/>
      <c r="B9" s="1" t="s">
        <v>188</v>
      </c>
      <c r="C9" s="2" t="str">
        <f t="shared" si="0"/>
        <v>Tabel3E</v>
      </c>
    </row>
    <row r="10" spans="1:3" ht="19" x14ac:dyDescent="0.25">
      <c r="A10" s="4"/>
      <c r="B10" s="1" t="s">
        <v>189</v>
      </c>
      <c r="C10" s="2" t="str">
        <f t="shared" si="0"/>
        <v>Tabel3F</v>
      </c>
    </row>
    <row r="11" spans="1:3" ht="19" x14ac:dyDescent="0.25">
      <c r="A11" s="4"/>
      <c r="B11" s="1" t="s">
        <v>190</v>
      </c>
      <c r="C11" s="2" t="str">
        <f t="shared" si="0"/>
        <v>Tabel4</v>
      </c>
    </row>
    <row r="12" spans="1:3" ht="19" x14ac:dyDescent="0.25">
      <c r="A12" s="4"/>
      <c r="B12" s="1" t="s">
        <v>191</v>
      </c>
      <c r="C12" s="2" t="str">
        <f t="shared" si="0"/>
        <v>Tabel5</v>
      </c>
    </row>
    <row r="13" spans="1:3" ht="19" x14ac:dyDescent="0.25">
      <c r="A13" s="4"/>
      <c r="B13" s="1" t="s">
        <v>192</v>
      </c>
      <c r="C13" s="2" t="str">
        <f t="shared" si="0"/>
        <v>Tabel6</v>
      </c>
    </row>
    <row r="14" spans="1:3" ht="19" x14ac:dyDescent="0.25">
      <c r="A14" s="4"/>
      <c r="B14" s="1" t="s">
        <v>193</v>
      </c>
      <c r="C14" s="2" t="str">
        <f t="shared" si="0"/>
        <v>Tabel7</v>
      </c>
    </row>
    <row r="15" spans="1:3" ht="19" x14ac:dyDescent="0.25">
      <c r="A15" s="4"/>
      <c r="B15" s="1" t="s">
        <v>194</v>
      </c>
      <c r="C15" s="2" t="str">
        <f t="shared" si="0"/>
        <v>Tabel8</v>
      </c>
    </row>
    <row r="16" spans="1:3" ht="19" x14ac:dyDescent="0.25">
      <c r="A16" s="4"/>
      <c r="B16" s="1" t="s">
        <v>195</v>
      </c>
      <c r="C16" s="2" t="str">
        <f t="shared" si="0"/>
        <v>Tabel9</v>
      </c>
    </row>
    <row r="17" spans="1:3" ht="19" x14ac:dyDescent="0.25">
      <c r="A17" s="4"/>
      <c r="B17" s="1" t="s">
        <v>196</v>
      </c>
      <c r="C17" s="2" t="str">
        <f t="shared" si="0"/>
        <v>Tabel9A</v>
      </c>
    </row>
    <row r="18" spans="1:3" ht="19" x14ac:dyDescent="0.25">
      <c r="A18" s="4"/>
      <c r="B18" s="1" t="s">
        <v>197</v>
      </c>
      <c r="C18" s="2" t="str">
        <f t="shared" si="0"/>
        <v>Tabel9B</v>
      </c>
    </row>
    <row r="19" spans="1:3" ht="19" x14ac:dyDescent="0.25">
      <c r="A19" s="4"/>
      <c r="B19" s="1" t="s">
        <v>198</v>
      </c>
      <c r="C19" s="2" t="str">
        <f t="shared" si="0"/>
        <v>Tabel9C</v>
      </c>
    </row>
    <row r="20" spans="1:3" ht="19" x14ac:dyDescent="0.25">
      <c r="A20" s="4"/>
      <c r="B20" s="1" t="s">
        <v>199</v>
      </c>
      <c r="C20" s="2" t="str">
        <f t="shared" si="0"/>
        <v>Tabel9D</v>
      </c>
    </row>
    <row r="21" spans="1:3" ht="19" x14ac:dyDescent="0.25">
      <c r="A21" s="4"/>
      <c r="B21" s="1" t="s">
        <v>200</v>
      </c>
      <c r="C21" s="2" t="str">
        <f t="shared" si="0"/>
        <v>Tabel9E</v>
      </c>
    </row>
    <row r="22" spans="1:3" ht="19" x14ac:dyDescent="0.25">
      <c r="A22" s="4"/>
      <c r="B22" s="1" t="s">
        <v>201</v>
      </c>
      <c r="C22" s="2" t="str">
        <f t="shared" si="0"/>
        <v>Tabel9F</v>
      </c>
    </row>
    <row r="23" spans="1:3" ht="19" x14ac:dyDescent="0.25">
      <c r="A23" s="4"/>
      <c r="B23" s="1" t="s">
        <v>202</v>
      </c>
      <c r="C23" s="2" t="str">
        <f t="shared" si="0"/>
        <v>Tabel10</v>
      </c>
    </row>
    <row r="24" spans="1:3" ht="19" x14ac:dyDescent="0.25">
      <c r="A24" s="4"/>
      <c r="B24" s="1" t="s">
        <v>203</v>
      </c>
      <c r="C24" s="2" t="str">
        <f t="shared" si="0"/>
        <v>Tabel10A</v>
      </c>
    </row>
    <row r="25" spans="1:3" ht="19" x14ac:dyDescent="0.25">
      <c r="A25" s="4"/>
      <c r="B25" s="1" t="s">
        <v>204</v>
      </c>
      <c r="C25" s="2" t="str">
        <f t="shared" si="0"/>
        <v>Tabel10B</v>
      </c>
    </row>
    <row r="26" spans="1:3" ht="19" x14ac:dyDescent="0.25">
      <c r="A26" s="4"/>
      <c r="B26" s="1" t="s">
        <v>205</v>
      </c>
      <c r="C26" s="2" t="str">
        <f t="shared" si="0"/>
        <v>Tabel10C</v>
      </c>
    </row>
    <row r="27" spans="1:3" ht="19" x14ac:dyDescent="0.25">
      <c r="A27" s="4"/>
      <c r="B27" s="1" t="s">
        <v>206</v>
      </c>
      <c r="C27" s="2" t="str">
        <f t="shared" si="0"/>
        <v>Tabel10D</v>
      </c>
    </row>
    <row r="28" spans="1:3" ht="19" x14ac:dyDescent="0.25">
      <c r="A28" s="4"/>
      <c r="B28" s="1" t="s">
        <v>207</v>
      </c>
      <c r="C28" s="2" t="str">
        <f t="shared" si="0"/>
        <v>Tabel10E</v>
      </c>
    </row>
    <row r="29" spans="1:3" ht="19" x14ac:dyDescent="0.25">
      <c r="A29" s="4"/>
      <c r="B29" s="1" t="s">
        <v>208</v>
      </c>
      <c r="C29" s="2" t="str">
        <f t="shared" si="0"/>
        <v>Tabel10F</v>
      </c>
    </row>
    <row r="30" spans="1:3" ht="19" x14ac:dyDescent="0.25">
      <c r="A30" s="4"/>
      <c r="B30" s="1" t="s">
        <v>209</v>
      </c>
      <c r="C30" s="2" t="str">
        <f t="shared" si="0"/>
        <v>Tabel11</v>
      </c>
    </row>
    <row r="31" spans="1:3" ht="19" x14ac:dyDescent="0.25">
      <c r="A31" s="4"/>
      <c r="B31" s="1" t="s">
        <v>210</v>
      </c>
      <c r="C31" s="2" t="str">
        <f t="shared" si="0"/>
        <v>Tabel11A</v>
      </c>
    </row>
    <row r="32" spans="1:3" ht="19" x14ac:dyDescent="0.25">
      <c r="A32" s="4"/>
      <c r="B32" s="1" t="s">
        <v>211</v>
      </c>
      <c r="C32" s="2" t="str">
        <f t="shared" si="0"/>
        <v>Tabel11ALanjut</v>
      </c>
    </row>
    <row r="33" spans="1:3" ht="19" x14ac:dyDescent="0.25">
      <c r="A33" s="4"/>
      <c r="B33" s="1" t="s">
        <v>212</v>
      </c>
      <c r="C33" s="2" t="str">
        <f t="shared" si="0"/>
        <v>Tabel11Lanjut</v>
      </c>
    </row>
    <row r="34" spans="1:3" ht="19" x14ac:dyDescent="0.25">
      <c r="A34" s="4"/>
      <c r="B34" s="1" t="s">
        <v>213</v>
      </c>
      <c r="C34" s="2" t="str">
        <f t="shared" si="0"/>
        <v>Tabel12</v>
      </c>
    </row>
    <row r="35" spans="1:3" ht="19" x14ac:dyDescent="0.25">
      <c r="A35" s="4"/>
      <c r="B35" s="1" t="s">
        <v>214</v>
      </c>
      <c r="C35" s="2" t="str">
        <f t="shared" si="0"/>
        <v>Tabel12A</v>
      </c>
    </row>
    <row r="36" spans="1:3" ht="19" x14ac:dyDescent="0.25">
      <c r="A36" s="4"/>
      <c r="B36" s="1" t="s">
        <v>215</v>
      </c>
      <c r="C36" s="2" t="str">
        <f t="shared" si="0"/>
        <v>Tabel12ALanjut</v>
      </c>
    </row>
    <row r="37" spans="1:3" ht="19" x14ac:dyDescent="0.25">
      <c r="A37" s="4"/>
      <c r="B37" s="1" t="s">
        <v>216</v>
      </c>
      <c r="C37" s="2" t="str">
        <f t="shared" si="0"/>
        <v>Tabel12Lanjut</v>
      </c>
    </row>
    <row r="38" spans="1:3" ht="19" x14ac:dyDescent="0.25">
      <c r="A38" s="4"/>
      <c r="B38" s="1" t="s">
        <v>217</v>
      </c>
      <c r="C38" s="2" t="str">
        <f t="shared" si="0"/>
        <v>Tabel13</v>
      </c>
    </row>
    <row r="39" spans="1:3" ht="19" x14ac:dyDescent="0.25">
      <c r="A39" s="4"/>
      <c r="B39" s="1" t="s">
        <v>218</v>
      </c>
      <c r="C39" s="2" t="str">
        <f t="shared" si="0"/>
        <v>Tabel13A</v>
      </c>
    </row>
    <row r="40" spans="1:3" ht="19" x14ac:dyDescent="0.25">
      <c r="A40" s="4"/>
      <c r="B40" s="1" t="s">
        <v>219</v>
      </c>
      <c r="C40" s="2" t="str">
        <f t="shared" si="0"/>
        <v>Tabel13ALanjut</v>
      </c>
    </row>
    <row r="41" spans="1:3" ht="19" x14ac:dyDescent="0.25">
      <c r="A41" s="4"/>
      <c r="B41" s="1" t="s">
        <v>220</v>
      </c>
      <c r="C41" s="2" t="str">
        <f t="shared" si="0"/>
        <v>Tabel13Lanjut</v>
      </c>
    </row>
    <row r="42" spans="1:3" ht="19" x14ac:dyDescent="0.25">
      <c r="A42" s="4"/>
      <c r="B42" s="1" t="s">
        <v>221</v>
      </c>
      <c r="C42" s="2" t="str">
        <f t="shared" si="0"/>
        <v>Tabel14</v>
      </c>
    </row>
    <row r="43" spans="1:3" ht="19" x14ac:dyDescent="0.25">
      <c r="A43" s="4"/>
      <c r="B43" s="1" t="s">
        <v>222</v>
      </c>
      <c r="C43" s="2" t="str">
        <f t="shared" si="0"/>
        <v>Tabel15</v>
      </c>
    </row>
    <row r="44" spans="1:3" ht="19" x14ac:dyDescent="0.25">
      <c r="A44" s="4"/>
      <c r="B44" s="1" t="s">
        <v>223</v>
      </c>
      <c r="C44" s="2" t="str">
        <f t="shared" si="0"/>
        <v>Tabel16</v>
      </c>
    </row>
    <row r="45" spans="1:3" ht="19" x14ac:dyDescent="0.25">
      <c r="A45" s="4"/>
      <c r="B45" s="1" t="s">
        <v>224</v>
      </c>
      <c r="C45" s="2" t="str">
        <f t="shared" si="0"/>
        <v>Tabel17</v>
      </c>
    </row>
    <row r="46" spans="1:3" ht="19" x14ac:dyDescent="0.25">
      <c r="A46" s="4"/>
      <c r="B46" s="1" t="s">
        <v>225</v>
      </c>
      <c r="C46" s="2" t="str">
        <f t="shared" si="0"/>
        <v>Tabel18</v>
      </c>
    </row>
    <row r="47" spans="1:3" ht="19" x14ac:dyDescent="0.25">
      <c r="A47" s="4"/>
      <c r="B47" s="1" t="s">
        <v>226</v>
      </c>
      <c r="C47" s="2" t="str">
        <f t="shared" si="0"/>
        <v>Tabel19</v>
      </c>
    </row>
    <row r="48" spans="1:3" ht="19" x14ac:dyDescent="0.25">
      <c r="A48" s="4"/>
      <c r="B48" s="1" t="s">
        <v>226</v>
      </c>
      <c r="C48" s="2" t="str">
        <f t="shared" si="0"/>
        <v>Tabel19</v>
      </c>
    </row>
    <row r="49" spans="1:3" ht="19" x14ac:dyDescent="0.25">
      <c r="A49" s="4"/>
      <c r="B49" s="1" t="s">
        <v>227</v>
      </c>
      <c r="C49" s="2" t="str">
        <f>_xlfn.TEXTAFTER(B49,"/",-1) &amp; " Komulatif"</f>
        <v>Tabel20 Komulatif</v>
      </c>
    </row>
    <row r="50" spans="1:3" ht="19" x14ac:dyDescent="0.25">
      <c r="A50" s="4"/>
      <c r="B50" s="1" t="s">
        <v>228</v>
      </c>
      <c r="C50" s="2" t="str">
        <f t="shared" ref="C50:C97" si="1">_xlfn.TEXTAFTER(B50,"/",-1) &amp; " Komulatif"</f>
        <v>Tabel21 Komulatif</v>
      </c>
    </row>
    <row r="51" spans="1:3" ht="19" x14ac:dyDescent="0.25">
      <c r="A51" s="4"/>
      <c r="B51" s="1" t="s">
        <v>229</v>
      </c>
      <c r="C51" s="2" t="str">
        <f t="shared" si="1"/>
        <v>Tabel21A Komulatif</v>
      </c>
    </row>
    <row r="52" spans="1:3" ht="19" x14ac:dyDescent="0.25">
      <c r="A52" s="4"/>
      <c r="B52" s="1" t="s">
        <v>230</v>
      </c>
      <c r="C52" s="2" t="str">
        <f t="shared" si="1"/>
        <v>Tabel21B Komulatif</v>
      </c>
    </row>
    <row r="53" spans="1:3" ht="19" x14ac:dyDescent="0.25">
      <c r="A53" s="4"/>
      <c r="B53" s="1" t="s">
        <v>231</v>
      </c>
      <c r="C53" s="2" t="str">
        <f t="shared" si="1"/>
        <v>Tabel21C Komulatif</v>
      </c>
    </row>
    <row r="54" spans="1:3" ht="19" x14ac:dyDescent="0.25">
      <c r="A54" s="4"/>
      <c r="B54" s="1" t="s">
        <v>232</v>
      </c>
      <c r="C54" s="2" t="str">
        <f t="shared" si="1"/>
        <v>Tabel21D Komulatif</v>
      </c>
    </row>
    <row r="55" spans="1:3" ht="19" x14ac:dyDescent="0.25">
      <c r="A55" s="4"/>
      <c r="B55" s="1" t="s">
        <v>233</v>
      </c>
      <c r="C55" s="2" t="str">
        <f t="shared" si="1"/>
        <v>Tabel21E Komulatif</v>
      </c>
    </row>
    <row r="56" spans="1:3" ht="19" x14ac:dyDescent="0.25">
      <c r="A56" s="4"/>
      <c r="B56" s="1" t="s">
        <v>234</v>
      </c>
      <c r="C56" s="2" t="str">
        <f t="shared" si="1"/>
        <v>Tabel21F Komulatif</v>
      </c>
    </row>
    <row r="57" spans="1:3" ht="19" x14ac:dyDescent="0.25">
      <c r="A57" s="4"/>
      <c r="B57" s="1" t="s">
        <v>235</v>
      </c>
      <c r="C57" s="2" t="str">
        <f t="shared" si="1"/>
        <v>Tabel22 Komulatif</v>
      </c>
    </row>
    <row r="58" spans="1:3" ht="19" x14ac:dyDescent="0.25">
      <c r="A58" s="4"/>
      <c r="B58" s="1" t="s">
        <v>236</v>
      </c>
      <c r="C58" s="2" t="str">
        <f t="shared" si="1"/>
        <v>Tabel23 Komulatif</v>
      </c>
    </row>
    <row r="59" spans="1:3" ht="19" x14ac:dyDescent="0.25">
      <c r="A59" s="4"/>
      <c r="B59" s="1" t="s">
        <v>237</v>
      </c>
      <c r="C59" s="2" t="str">
        <f t="shared" si="1"/>
        <v>Tabel24 Komulatif</v>
      </c>
    </row>
    <row r="60" spans="1:3" ht="19" x14ac:dyDescent="0.25">
      <c r="A60" s="4"/>
      <c r="B60" s="1" t="s">
        <v>238</v>
      </c>
      <c r="C60" s="2" t="str">
        <f t="shared" si="1"/>
        <v>Tabel25 Komulatif</v>
      </c>
    </row>
    <row r="61" spans="1:3" ht="19" x14ac:dyDescent="0.25">
      <c r="A61" s="4"/>
      <c r="B61" s="1" t="s">
        <v>239</v>
      </c>
      <c r="C61" s="2" t="str">
        <f t="shared" si="1"/>
        <v>Tabel26 Komulatif</v>
      </c>
    </row>
    <row r="62" spans="1:3" ht="19" x14ac:dyDescent="0.25">
      <c r="A62" s="4"/>
      <c r="B62" s="1" t="s">
        <v>240</v>
      </c>
      <c r="C62" s="2" t="str">
        <f t="shared" si="1"/>
        <v>Tabel27 Komulatif</v>
      </c>
    </row>
    <row r="63" spans="1:3" ht="19" x14ac:dyDescent="0.25">
      <c r="A63" s="4"/>
      <c r="B63" s="1" t="s">
        <v>241</v>
      </c>
      <c r="C63" s="2" t="str">
        <f t="shared" si="1"/>
        <v>Tabel27A Komulatif</v>
      </c>
    </row>
    <row r="64" spans="1:3" ht="19" x14ac:dyDescent="0.25">
      <c r="A64" s="4"/>
      <c r="B64" s="1" t="s">
        <v>242</v>
      </c>
      <c r="C64" s="2" t="str">
        <f t="shared" si="1"/>
        <v>Tabel27B Komulatif</v>
      </c>
    </row>
    <row r="65" spans="1:3" ht="19" x14ac:dyDescent="0.25">
      <c r="A65" s="4"/>
      <c r="B65" s="1" t="s">
        <v>243</v>
      </c>
      <c r="C65" s="2" t="str">
        <f t="shared" si="1"/>
        <v>Tabel27C Komulatif</v>
      </c>
    </row>
    <row r="66" spans="1:3" ht="19" x14ac:dyDescent="0.25">
      <c r="A66" s="4"/>
      <c r="B66" s="1" t="s">
        <v>244</v>
      </c>
      <c r="C66" s="2" t="str">
        <f t="shared" si="1"/>
        <v>Tabel27D Komulatif</v>
      </c>
    </row>
    <row r="67" spans="1:3" ht="19" x14ac:dyDescent="0.25">
      <c r="A67" s="4"/>
      <c r="B67" s="1" t="s">
        <v>245</v>
      </c>
      <c r="C67" s="2" t="str">
        <f t="shared" si="1"/>
        <v>Tabel27E Komulatif</v>
      </c>
    </row>
    <row r="68" spans="1:3" ht="19" x14ac:dyDescent="0.25">
      <c r="A68" s="4"/>
      <c r="B68" s="1" t="s">
        <v>246</v>
      </c>
      <c r="C68" s="2" t="str">
        <f t="shared" si="1"/>
        <v>Tabel27F Komulatif</v>
      </c>
    </row>
    <row r="69" spans="1:3" ht="19" x14ac:dyDescent="0.25">
      <c r="A69" s="4"/>
      <c r="B69" s="1" t="s">
        <v>247</v>
      </c>
      <c r="C69" s="2" t="str">
        <f t="shared" si="1"/>
        <v>Tabel28 Komulatif</v>
      </c>
    </row>
    <row r="70" spans="1:3" ht="19" x14ac:dyDescent="0.25">
      <c r="A70" s="4"/>
      <c r="B70" s="1" t="s">
        <v>248</v>
      </c>
      <c r="C70" s="2" t="str">
        <f t="shared" si="1"/>
        <v>Tabel28A Komulatif</v>
      </c>
    </row>
    <row r="71" spans="1:3" ht="19" x14ac:dyDescent="0.25">
      <c r="A71" s="4"/>
      <c r="B71" s="1" t="s">
        <v>249</v>
      </c>
      <c r="C71" s="2" t="str">
        <f t="shared" si="1"/>
        <v>Tabel28B Komulatif</v>
      </c>
    </row>
    <row r="72" spans="1:3" ht="19" x14ac:dyDescent="0.25">
      <c r="A72" s="4"/>
      <c r="B72" s="1" t="s">
        <v>250</v>
      </c>
      <c r="C72" s="2" t="str">
        <f t="shared" si="1"/>
        <v>Tabel28C Komulatif</v>
      </c>
    </row>
    <row r="73" spans="1:3" ht="19" x14ac:dyDescent="0.25">
      <c r="A73" s="4"/>
      <c r="B73" s="1" t="s">
        <v>251</v>
      </c>
      <c r="C73" s="2" t="str">
        <f t="shared" si="1"/>
        <v>Tabel28D Komulatif</v>
      </c>
    </row>
    <row r="74" spans="1:3" ht="19" x14ac:dyDescent="0.25">
      <c r="A74" s="4"/>
      <c r="B74" s="1" t="s">
        <v>252</v>
      </c>
      <c r="C74" s="2" t="str">
        <f t="shared" si="1"/>
        <v>Tabel28E Komulatif</v>
      </c>
    </row>
    <row r="75" spans="1:3" ht="19" x14ac:dyDescent="0.25">
      <c r="A75" s="4"/>
      <c r="B75" s="1" t="s">
        <v>253</v>
      </c>
      <c r="C75" s="2" t="str">
        <f t="shared" si="1"/>
        <v>Tabel28F Komulatif</v>
      </c>
    </row>
    <row r="76" spans="1:3" ht="19" x14ac:dyDescent="0.25">
      <c r="A76" s="4"/>
      <c r="B76" s="1" t="s">
        <v>254</v>
      </c>
      <c r="C76" s="2" t="str">
        <f t="shared" si="1"/>
        <v>Tabel29 Komulatif</v>
      </c>
    </row>
    <row r="77" spans="1:3" ht="19" x14ac:dyDescent="0.25">
      <c r="A77" s="4"/>
      <c r="B77" s="1" t="s">
        <v>255</v>
      </c>
      <c r="C77" s="2" t="str">
        <f t="shared" si="1"/>
        <v>Tabel30 Komulatif</v>
      </c>
    </row>
    <row r="78" spans="1:3" ht="19" x14ac:dyDescent="0.25">
      <c r="A78" s="4"/>
      <c r="B78" s="1" t="s">
        <v>256</v>
      </c>
      <c r="C78" s="2" t="str">
        <f t="shared" si="1"/>
        <v>Tabel31 Komulatif</v>
      </c>
    </row>
    <row r="79" spans="1:3" ht="19" x14ac:dyDescent="0.25">
      <c r="A79" s="4"/>
      <c r="B79" s="1" t="s">
        <v>257</v>
      </c>
      <c r="C79" s="2" t="str">
        <f t="shared" si="1"/>
        <v>Tabel32 Komulatif</v>
      </c>
    </row>
    <row r="80" spans="1:3" ht="19" x14ac:dyDescent="0.25">
      <c r="A80" s="4"/>
      <c r="B80" s="1" t="s">
        <v>258</v>
      </c>
      <c r="C80" s="2" t="str">
        <f t="shared" si="1"/>
        <v>Tabel33 Komulatif</v>
      </c>
    </row>
    <row r="81" spans="1:3" ht="19" x14ac:dyDescent="0.25">
      <c r="A81" s="4"/>
      <c r="B81" s="1" t="s">
        <v>259</v>
      </c>
      <c r="C81" s="2" t="str">
        <f t="shared" si="1"/>
        <v>Tabel34 Komulatif</v>
      </c>
    </row>
    <row r="82" spans="1:3" ht="19" x14ac:dyDescent="0.25">
      <c r="A82" s="4"/>
      <c r="B82" s="1" t="s">
        <v>260</v>
      </c>
      <c r="C82" s="2" t="str">
        <f t="shared" si="1"/>
        <v>Tabel35 Komulatif</v>
      </c>
    </row>
    <row r="83" spans="1:3" ht="19" x14ac:dyDescent="0.25">
      <c r="A83" s="4"/>
      <c r="B83" s="1" t="s">
        <v>261</v>
      </c>
      <c r="C83" s="2" t="str">
        <f t="shared" si="1"/>
        <v>Tabel35A Komulatif</v>
      </c>
    </row>
    <row r="84" spans="1:3" ht="19" x14ac:dyDescent="0.25">
      <c r="A84" s="4"/>
      <c r="B84" s="1" t="s">
        <v>262</v>
      </c>
      <c r="C84" s="2" t="str">
        <f t="shared" si="1"/>
        <v>Tabel35B Komulatif</v>
      </c>
    </row>
    <row r="85" spans="1:3" ht="19" x14ac:dyDescent="0.25">
      <c r="A85" s="4"/>
      <c r="B85" s="1" t="s">
        <v>263</v>
      </c>
      <c r="C85" s="2" t="str">
        <f t="shared" si="1"/>
        <v>Tabel35C Komulatif</v>
      </c>
    </row>
    <row r="86" spans="1:3" ht="19" x14ac:dyDescent="0.25">
      <c r="A86" s="4"/>
      <c r="B86" s="1" t="s">
        <v>264</v>
      </c>
      <c r="C86" s="2" t="str">
        <f t="shared" si="1"/>
        <v>Tabel36 Komulatif</v>
      </c>
    </row>
    <row r="87" spans="1:3" ht="19" x14ac:dyDescent="0.25">
      <c r="A87" s="4"/>
      <c r="B87" s="1" t="s">
        <v>265</v>
      </c>
      <c r="C87" s="2" t="str">
        <f t="shared" si="1"/>
        <v>Tabel36A Komulatif</v>
      </c>
    </row>
    <row r="88" spans="1:3" ht="19" x14ac:dyDescent="0.25">
      <c r="A88" s="4"/>
      <c r="B88" s="1" t="s">
        <v>266</v>
      </c>
      <c r="C88" s="2" t="str">
        <f t="shared" si="1"/>
        <v>Tabel36B Komulatif</v>
      </c>
    </row>
    <row r="89" spans="1:3" ht="19" x14ac:dyDescent="0.25">
      <c r="A89" s="4"/>
      <c r="B89" s="1" t="s">
        <v>267</v>
      </c>
      <c r="C89" s="2" t="str">
        <f t="shared" si="1"/>
        <v>Tabel36C Komulatif</v>
      </c>
    </row>
    <row r="90" spans="1:3" ht="19" x14ac:dyDescent="0.25">
      <c r="A90" s="4"/>
      <c r="B90" s="1" t="s">
        <v>268</v>
      </c>
      <c r="C90" s="2" t="str">
        <f t="shared" si="1"/>
        <v>Tabel37 Komulatif</v>
      </c>
    </row>
    <row r="91" spans="1:3" ht="19" x14ac:dyDescent="0.25">
      <c r="A91" s="4"/>
      <c r="B91" s="1" t="s">
        <v>269</v>
      </c>
      <c r="C91" s="2" t="str">
        <f t="shared" si="1"/>
        <v>Tabel37A Komulatif</v>
      </c>
    </row>
    <row r="92" spans="1:3" ht="19" x14ac:dyDescent="0.25">
      <c r="A92" s="4"/>
      <c r="B92" s="1" t="s">
        <v>270</v>
      </c>
      <c r="C92" s="2" t="str">
        <f t="shared" si="1"/>
        <v>Tabel37B Komulatif</v>
      </c>
    </row>
    <row r="93" spans="1:3" ht="19" x14ac:dyDescent="0.25">
      <c r="A93" s="4"/>
      <c r="B93" s="1" t="s">
        <v>271</v>
      </c>
      <c r="C93" s="2" t="str">
        <f t="shared" si="1"/>
        <v>Tabel37C Komulatif</v>
      </c>
    </row>
    <row r="94" spans="1:3" ht="19" x14ac:dyDescent="0.25">
      <c r="A94" s="4"/>
      <c r="B94" s="1" t="s">
        <v>272</v>
      </c>
      <c r="C94" s="2" t="str">
        <f t="shared" si="1"/>
        <v>Tabel38 Komulatif</v>
      </c>
    </row>
    <row r="95" spans="1:3" ht="19" x14ac:dyDescent="0.25">
      <c r="A95" s="4"/>
      <c r="B95" s="1" t="s">
        <v>273</v>
      </c>
      <c r="C95" s="2" t="str">
        <f t="shared" si="1"/>
        <v>Tabel38A Komulatif</v>
      </c>
    </row>
    <row r="96" spans="1:3" ht="19" x14ac:dyDescent="0.25">
      <c r="A96" s="4"/>
      <c r="B96" s="1" t="s">
        <v>274</v>
      </c>
      <c r="C96" s="2" t="str">
        <f t="shared" si="1"/>
        <v>Tabel38B Komulatif</v>
      </c>
    </row>
    <row r="97" spans="1:3" ht="19" x14ac:dyDescent="0.25">
      <c r="A97" s="4"/>
      <c r="B97" s="1" t="s">
        <v>275</v>
      </c>
      <c r="C97" s="2" t="str">
        <f t="shared" si="1"/>
        <v>Tabel38C Komulatif</v>
      </c>
    </row>
    <row r="98" spans="1:3" ht="19" x14ac:dyDescent="0.25">
      <c r="A98" s="4" t="s">
        <v>2</v>
      </c>
      <c r="B98" t="s">
        <v>276</v>
      </c>
      <c r="C98" s="2" t="str">
        <f t="shared" ref="C98:C149" si="2">_xlfn.TEXTAFTER(B98,"/",-1)</f>
        <v>Tabel1</v>
      </c>
    </row>
    <row r="99" spans="1:3" ht="19" x14ac:dyDescent="0.25">
      <c r="A99" s="4"/>
      <c r="B99" t="s">
        <v>307</v>
      </c>
      <c r="C99" s="2" t="str">
        <f t="shared" si="2"/>
        <v>Tabel2A</v>
      </c>
    </row>
    <row r="100" spans="1:3" ht="19" x14ac:dyDescent="0.25">
      <c r="A100" s="4"/>
      <c r="B100" t="s">
        <v>308</v>
      </c>
      <c r="C100" s="2" t="str">
        <f t="shared" si="2"/>
        <v>Tabel2ALanjut</v>
      </c>
    </row>
    <row r="101" spans="1:3" ht="19" x14ac:dyDescent="0.25">
      <c r="A101" s="4"/>
      <c r="B101" t="s">
        <v>309</v>
      </c>
      <c r="C101" s="2" t="str">
        <f t="shared" si="2"/>
        <v>Tabel2B</v>
      </c>
    </row>
    <row r="102" spans="1:3" ht="19" x14ac:dyDescent="0.25">
      <c r="A102" s="4"/>
      <c r="B102" t="s">
        <v>310</v>
      </c>
      <c r="C102" s="2" t="str">
        <f t="shared" si="2"/>
        <v>Tabel2C</v>
      </c>
    </row>
    <row r="103" spans="1:3" ht="19" x14ac:dyDescent="0.25">
      <c r="A103" s="4"/>
      <c r="B103" t="s">
        <v>277</v>
      </c>
      <c r="C103" s="2" t="str">
        <f t="shared" si="2"/>
        <v>Tabel3A</v>
      </c>
    </row>
    <row r="104" spans="1:3" ht="19" x14ac:dyDescent="0.25">
      <c r="A104" s="4"/>
      <c r="B104" t="s">
        <v>278</v>
      </c>
      <c r="C104" s="2" t="str">
        <f t="shared" si="2"/>
        <v>Tabel3B</v>
      </c>
    </row>
    <row r="105" spans="1:3" ht="19" x14ac:dyDescent="0.25">
      <c r="A105" s="4"/>
      <c r="B105" t="s">
        <v>279</v>
      </c>
      <c r="C105" s="2" t="str">
        <f t="shared" si="2"/>
        <v>Tabel3C</v>
      </c>
    </row>
    <row r="106" spans="1:3" ht="19" x14ac:dyDescent="0.25">
      <c r="A106" s="4"/>
      <c r="B106" t="s">
        <v>280</v>
      </c>
      <c r="C106" s="2" t="str">
        <f t="shared" si="2"/>
        <v>Tabel4A</v>
      </c>
    </row>
    <row r="107" spans="1:3" ht="19" x14ac:dyDescent="0.25">
      <c r="A107" s="4"/>
      <c r="B107" t="s">
        <v>311</v>
      </c>
      <c r="C107" s="2" t="str">
        <f t="shared" si="2"/>
        <v>Tabel4ALanjut</v>
      </c>
    </row>
    <row r="108" spans="1:3" ht="19" x14ac:dyDescent="0.25">
      <c r="A108" s="4"/>
      <c r="B108" t="s">
        <v>281</v>
      </c>
      <c r="C108" s="2" t="str">
        <f t="shared" si="2"/>
        <v>Tabel4B</v>
      </c>
    </row>
    <row r="109" spans="1:3" ht="19" x14ac:dyDescent="0.25">
      <c r="A109" s="4"/>
      <c r="B109" t="s">
        <v>282</v>
      </c>
      <c r="C109" s="2" t="str">
        <f t="shared" si="2"/>
        <v>Tabel5A</v>
      </c>
    </row>
    <row r="110" spans="1:3" ht="19" x14ac:dyDescent="0.25">
      <c r="A110" s="4"/>
      <c r="B110" t="s">
        <v>312</v>
      </c>
      <c r="C110" s="2" t="str">
        <f t="shared" si="2"/>
        <v>Tabel5ALanjut</v>
      </c>
    </row>
    <row r="111" spans="1:3" ht="19" x14ac:dyDescent="0.25">
      <c r="A111" s="4"/>
      <c r="B111" t="s">
        <v>283</v>
      </c>
      <c r="C111" s="2" t="str">
        <f t="shared" si="2"/>
        <v>Tabel5B</v>
      </c>
    </row>
    <row r="112" spans="1:3" ht="19" x14ac:dyDescent="0.25">
      <c r="A112" s="4"/>
      <c r="B112" t="s">
        <v>284</v>
      </c>
      <c r="C112" s="2" t="str">
        <f t="shared" si="2"/>
        <v>Tabel6A</v>
      </c>
    </row>
    <row r="113" spans="1:3" ht="19" x14ac:dyDescent="0.25">
      <c r="A113" s="4"/>
      <c r="B113" t="s">
        <v>285</v>
      </c>
      <c r="C113" s="2" t="str">
        <f t="shared" si="2"/>
        <v>Tabel6B</v>
      </c>
    </row>
    <row r="114" spans="1:3" ht="19" x14ac:dyDescent="0.25">
      <c r="A114" s="4"/>
      <c r="B114" t="s">
        <v>286</v>
      </c>
      <c r="C114" s="2" t="str">
        <f t="shared" si="2"/>
        <v>Tabel7A</v>
      </c>
    </row>
    <row r="115" spans="1:3" ht="19" x14ac:dyDescent="0.25">
      <c r="A115" s="4"/>
      <c r="B115" t="s">
        <v>287</v>
      </c>
      <c r="C115" s="2" t="str">
        <f t="shared" si="2"/>
        <v>Tabel7B</v>
      </c>
    </row>
    <row r="116" spans="1:3" ht="19" x14ac:dyDescent="0.25">
      <c r="A116" s="4"/>
      <c r="B116" t="s">
        <v>313</v>
      </c>
      <c r="C116" s="2" t="str">
        <f t="shared" si="2"/>
        <v>Tabel8A</v>
      </c>
    </row>
    <row r="117" spans="1:3" ht="19" x14ac:dyDescent="0.25">
      <c r="A117" s="4"/>
      <c r="B117" t="s">
        <v>314</v>
      </c>
      <c r="C117" s="2" t="str">
        <f t="shared" si="2"/>
        <v>Tabel8B</v>
      </c>
    </row>
    <row r="118" spans="1:3" ht="19" x14ac:dyDescent="0.25">
      <c r="A118" s="4"/>
      <c r="B118" t="s">
        <v>315</v>
      </c>
      <c r="C118" s="2" t="str">
        <f t="shared" si="2"/>
        <v>Tabel8C</v>
      </c>
    </row>
    <row r="119" spans="1:3" ht="19" x14ac:dyDescent="0.25">
      <c r="A119" s="4"/>
      <c r="B119" t="s">
        <v>316</v>
      </c>
      <c r="C119" s="2" t="str">
        <f t="shared" si="2"/>
        <v>Tabel9A</v>
      </c>
    </row>
    <row r="120" spans="1:3" ht="19" x14ac:dyDescent="0.25">
      <c r="A120" s="4"/>
      <c r="B120" t="s">
        <v>317</v>
      </c>
      <c r="C120" s="2" t="str">
        <f t="shared" si="2"/>
        <v>Tabel9B</v>
      </c>
    </row>
    <row r="121" spans="1:3" ht="19" x14ac:dyDescent="0.25">
      <c r="A121" s="4"/>
      <c r="B121" t="s">
        <v>318</v>
      </c>
      <c r="C121" s="2" t="str">
        <f t="shared" si="2"/>
        <v>Tabel9C</v>
      </c>
    </row>
    <row r="122" spans="1:3" ht="19" x14ac:dyDescent="0.25">
      <c r="A122" s="4"/>
      <c r="B122" t="s">
        <v>319</v>
      </c>
      <c r="C122" s="2" t="str">
        <f t="shared" si="2"/>
        <v>Tabel10A</v>
      </c>
    </row>
    <row r="123" spans="1:3" ht="19" x14ac:dyDescent="0.25">
      <c r="A123" s="4"/>
      <c r="B123" t="s">
        <v>320</v>
      </c>
      <c r="C123" s="2" t="str">
        <f t="shared" si="2"/>
        <v>Tabel10B</v>
      </c>
    </row>
    <row r="124" spans="1:3" ht="19" x14ac:dyDescent="0.25">
      <c r="A124" s="4"/>
      <c r="B124" t="s">
        <v>321</v>
      </c>
      <c r="C124" s="2" t="str">
        <f t="shared" si="2"/>
        <v>Tabel10C</v>
      </c>
    </row>
    <row r="125" spans="1:3" ht="19" x14ac:dyDescent="0.25">
      <c r="A125" s="4"/>
      <c r="B125" t="s">
        <v>322</v>
      </c>
      <c r="C125" s="2" t="str">
        <f t="shared" si="2"/>
        <v>Tabel10D</v>
      </c>
    </row>
    <row r="126" spans="1:3" ht="19" x14ac:dyDescent="0.25">
      <c r="A126" s="4"/>
      <c r="B126" t="s">
        <v>323</v>
      </c>
      <c r="C126" s="2" t="str">
        <f t="shared" si="2"/>
        <v>Tabel11A</v>
      </c>
    </row>
    <row r="127" spans="1:3" ht="19" x14ac:dyDescent="0.25">
      <c r="A127" s="4"/>
      <c r="B127" t="s">
        <v>324</v>
      </c>
      <c r="C127" s="2" t="str">
        <f t="shared" si="2"/>
        <v>Tabel11ALanjut</v>
      </c>
    </row>
    <row r="128" spans="1:3" ht="19" x14ac:dyDescent="0.25">
      <c r="A128" s="4"/>
      <c r="B128" t="s">
        <v>325</v>
      </c>
      <c r="C128" s="2" t="str">
        <f t="shared" si="2"/>
        <v>Tabel11B</v>
      </c>
    </row>
    <row r="129" spans="1:3" ht="19" x14ac:dyDescent="0.25">
      <c r="A129" s="4"/>
      <c r="B129" t="s">
        <v>326</v>
      </c>
      <c r="C129" s="2" t="str">
        <f t="shared" si="2"/>
        <v>Tabel11C</v>
      </c>
    </row>
    <row r="130" spans="1:3" ht="19" x14ac:dyDescent="0.25">
      <c r="A130" s="4"/>
      <c r="B130" t="s">
        <v>327</v>
      </c>
      <c r="C130" s="2" t="str">
        <f t="shared" si="2"/>
        <v>Tabel12A</v>
      </c>
    </row>
    <row r="131" spans="1:3" ht="19" x14ac:dyDescent="0.25">
      <c r="A131" s="4"/>
      <c r="B131" t="s">
        <v>328</v>
      </c>
      <c r="C131" s="2" t="str">
        <f t="shared" si="2"/>
        <v>Tabel12B</v>
      </c>
    </row>
    <row r="132" spans="1:3" ht="19" x14ac:dyDescent="0.25">
      <c r="A132" s="4"/>
      <c r="B132" t="s">
        <v>329</v>
      </c>
      <c r="C132" s="2" t="str">
        <f t="shared" si="2"/>
        <v>Tabel13A</v>
      </c>
    </row>
    <row r="133" spans="1:3" ht="19" x14ac:dyDescent="0.25">
      <c r="A133" s="4"/>
      <c r="B133" t="s">
        <v>330</v>
      </c>
      <c r="C133" s="2" t="str">
        <f t="shared" si="2"/>
        <v>Tabel13B</v>
      </c>
    </row>
    <row r="134" spans="1:3" ht="19" x14ac:dyDescent="0.25">
      <c r="A134" s="4"/>
      <c r="B134" t="s">
        <v>331</v>
      </c>
      <c r="C134" s="2" t="str">
        <f t="shared" si="2"/>
        <v>Tabel13C</v>
      </c>
    </row>
    <row r="135" spans="1:3" ht="19" x14ac:dyDescent="0.25">
      <c r="A135" s="4"/>
      <c r="B135" t="s">
        <v>332</v>
      </c>
      <c r="C135" s="2" t="str">
        <f t="shared" si="2"/>
        <v>Tabel13D</v>
      </c>
    </row>
    <row r="136" spans="1:3" ht="19" x14ac:dyDescent="0.25">
      <c r="A136" s="4"/>
      <c r="B136" t="s">
        <v>333</v>
      </c>
      <c r="C136" s="2" t="str">
        <f t="shared" si="2"/>
        <v>Tabel14A</v>
      </c>
    </row>
    <row r="137" spans="1:3" ht="19" x14ac:dyDescent="0.25">
      <c r="A137" s="4"/>
      <c r="B137" t="s">
        <v>334</v>
      </c>
      <c r="C137" s="2" t="str">
        <f t="shared" si="2"/>
        <v>Tabel14B</v>
      </c>
    </row>
    <row r="138" spans="1:3" ht="19" x14ac:dyDescent="0.25">
      <c r="A138" s="4"/>
      <c r="B138" t="s">
        <v>335</v>
      </c>
      <c r="C138" s="2" t="str">
        <f t="shared" si="2"/>
        <v>Tabel14C</v>
      </c>
    </row>
    <row r="139" spans="1:3" ht="19" x14ac:dyDescent="0.25">
      <c r="A139" s="4"/>
      <c r="B139" t="s">
        <v>336</v>
      </c>
      <c r="C139" s="2" t="str">
        <f t="shared" si="2"/>
        <v>Tabel15A</v>
      </c>
    </row>
    <row r="140" spans="1:3" ht="19" x14ac:dyDescent="0.25">
      <c r="A140" s="4"/>
      <c r="B140" t="s">
        <v>337</v>
      </c>
      <c r="C140" s="2" t="str">
        <f t="shared" si="2"/>
        <v>Tabel15ALanjut</v>
      </c>
    </row>
    <row r="141" spans="1:3" ht="19" x14ac:dyDescent="0.25">
      <c r="A141" s="4"/>
      <c r="B141" t="s">
        <v>338</v>
      </c>
      <c r="C141" s="2" t="str">
        <f t="shared" si="2"/>
        <v>Tabel15B</v>
      </c>
    </row>
    <row r="142" spans="1:3" ht="19" x14ac:dyDescent="0.25">
      <c r="A142" s="4"/>
      <c r="B142" t="s">
        <v>339</v>
      </c>
      <c r="C142" s="2" t="str">
        <f t="shared" si="2"/>
        <v>Tabel15C</v>
      </c>
    </row>
    <row r="143" spans="1:3" ht="19" x14ac:dyDescent="0.25">
      <c r="A143" s="4"/>
      <c r="B143" t="s">
        <v>288</v>
      </c>
      <c r="C143" s="2" t="str">
        <f t="shared" si="2"/>
        <v>Tabel16</v>
      </c>
    </row>
    <row r="144" spans="1:3" ht="19" x14ac:dyDescent="0.25">
      <c r="A144" s="4"/>
      <c r="B144" t="s">
        <v>289</v>
      </c>
      <c r="C144" s="2" t="str">
        <f t="shared" si="2"/>
        <v>Tabel17</v>
      </c>
    </row>
    <row r="145" spans="1:3" ht="19" x14ac:dyDescent="0.25">
      <c r="A145" s="4"/>
      <c r="B145" t="s">
        <v>290</v>
      </c>
      <c r="C145" s="2" t="str">
        <f t="shared" si="2"/>
        <v>Tabel18</v>
      </c>
    </row>
    <row r="146" spans="1:3" ht="19" x14ac:dyDescent="0.25">
      <c r="A146" s="4"/>
      <c r="B146" t="s">
        <v>291</v>
      </c>
      <c r="C146" s="2" t="str">
        <f t="shared" si="2"/>
        <v>Tabel19</v>
      </c>
    </row>
    <row r="147" spans="1:3" ht="19" x14ac:dyDescent="0.25">
      <c r="A147" s="4" t="s">
        <v>3</v>
      </c>
      <c r="B147" s="1" t="s">
        <v>162</v>
      </c>
      <c r="C147" s="2" t="str">
        <f t="shared" si="2"/>
        <v>Tabel3</v>
      </c>
    </row>
    <row r="148" spans="1:3" ht="19" x14ac:dyDescent="0.25">
      <c r="A148" s="4"/>
      <c r="B148" t="s">
        <v>163</v>
      </c>
      <c r="C148" s="2" t="str">
        <f t="shared" si="2"/>
        <v>Tabel4</v>
      </c>
    </row>
    <row r="149" spans="1:3" ht="19" x14ac:dyDescent="0.25">
      <c r="A149" s="4"/>
      <c r="B149" t="s">
        <v>164</v>
      </c>
      <c r="C149" s="2" t="str">
        <f t="shared" si="2"/>
        <v>Tabel5</v>
      </c>
    </row>
    <row r="150" spans="1:3" ht="19" x14ac:dyDescent="0.25">
      <c r="A150" s="4" t="s">
        <v>4</v>
      </c>
      <c r="B150" t="s">
        <v>292</v>
      </c>
      <c r="C150" s="3" t="s">
        <v>166</v>
      </c>
    </row>
    <row r="151" spans="1:3" ht="19" x14ac:dyDescent="0.25">
      <c r="A151" s="4"/>
      <c r="B151" s="1" t="s">
        <v>293</v>
      </c>
      <c r="C151" s="3" t="s">
        <v>167</v>
      </c>
    </row>
    <row r="152" spans="1:3" ht="19" x14ac:dyDescent="0.25">
      <c r="A152" s="4"/>
      <c r="B152" s="1" t="s">
        <v>294</v>
      </c>
      <c r="C152" s="3" t="s">
        <v>168</v>
      </c>
    </row>
    <row r="153" spans="1:3" ht="19" x14ac:dyDescent="0.25">
      <c r="A153" s="4"/>
      <c r="B153" s="1" t="s">
        <v>295</v>
      </c>
      <c r="C153" s="3" t="s">
        <v>169</v>
      </c>
    </row>
    <row r="154" spans="1:3" ht="19" x14ac:dyDescent="0.25">
      <c r="A154" s="4"/>
      <c r="B154" s="1" t="s">
        <v>296</v>
      </c>
      <c r="C154" s="3" t="s">
        <v>170</v>
      </c>
    </row>
    <row r="155" spans="1:3" ht="19" x14ac:dyDescent="0.25">
      <c r="A155" s="4"/>
      <c r="B155" s="1" t="s">
        <v>297</v>
      </c>
      <c r="C155" s="3" t="s">
        <v>171</v>
      </c>
    </row>
    <row r="156" spans="1:3" ht="19" x14ac:dyDescent="0.25">
      <c r="A156" s="4"/>
      <c r="B156" s="1" t="s">
        <v>298</v>
      </c>
      <c r="C156" s="3" t="s">
        <v>172</v>
      </c>
    </row>
    <row r="157" spans="1:3" ht="19" x14ac:dyDescent="0.25">
      <c r="A157" s="4"/>
      <c r="B157" s="1" t="s">
        <v>299</v>
      </c>
      <c r="C157" s="3" t="s">
        <v>173</v>
      </c>
    </row>
    <row r="158" spans="1:3" ht="19" x14ac:dyDescent="0.25">
      <c r="A158" s="4"/>
      <c r="B158" t="s">
        <v>300</v>
      </c>
      <c r="C158" s="3" t="s">
        <v>174</v>
      </c>
    </row>
    <row r="159" spans="1:3" ht="19" x14ac:dyDescent="0.25">
      <c r="A159" s="4"/>
      <c r="B159" s="1" t="s">
        <v>301</v>
      </c>
      <c r="C159" s="3" t="s">
        <v>175</v>
      </c>
    </row>
    <row r="160" spans="1:3" ht="19" x14ac:dyDescent="0.25">
      <c r="A160" s="4"/>
      <c r="B160" s="1" t="s">
        <v>302</v>
      </c>
      <c r="C160" s="3" t="s">
        <v>176</v>
      </c>
    </row>
    <row r="161" spans="1:3" ht="19" x14ac:dyDescent="0.25">
      <c r="A161" s="4"/>
      <c r="B161" s="1" t="s">
        <v>303</v>
      </c>
      <c r="C161" s="3" t="s">
        <v>177</v>
      </c>
    </row>
    <row r="162" spans="1:3" ht="19" x14ac:dyDescent="0.25">
      <c r="A162" s="4"/>
      <c r="B162" s="1" t="s">
        <v>304</v>
      </c>
      <c r="C162" s="3" t="s">
        <v>178</v>
      </c>
    </row>
    <row r="163" spans="1:3" ht="19" x14ac:dyDescent="0.25">
      <c r="A163" s="4"/>
      <c r="B163" s="1" t="s">
        <v>305</v>
      </c>
      <c r="C163" s="3" t="s">
        <v>179</v>
      </c>
    </row>
    <row r="164" spans="1:3" ht="19" x14ac:dyDescent="0.25">
      <c r="A164" s="4"/>
      <c r="B164" s="1" t="s">
        <v>306</v>
      </c>
      <c r="C164" s="3" t="s">
        <v>180</v>
      </c>
    </row>
    <row r="165" spans="1:3" ht="19" x14ac:dyDescent="0.25">
      <c r="A165" s="1" t="s">
        <v>7</v>
      </c>
      <c r="B165" s="1" t="s">
        <v>157</v>
      </c>
      <c r="C165" s="3" t="s">
        <v>7</v>
      </c>
    </row>
    <row r="166" spans="1:3" x14ac:dyDescent="0.2">
      <c r="A166" s="1"/>
      <c r="B166" s="1"/>
    </row>
    <row r="167" spans="1:3" x14ac:dyDescent="0.2">
      <c r="A167" s="1"/>
      <c r="B167" s="1"/>
    </row>
    <row r="168" spans="1:3" x14ac:dyDescent="0.2">
      <c r="A168" s="1"/>
      <c r="B168" s="1"/>
    </row>
    <row r="169" spans="1:3" x14ac:dyDescent="0.2">
      <c r="A169" s="1"/>
      <c r="B169" s="1"/>
    </row>
    <row r="170" spans="1:3" x14ac:dyDescent="0.2">
      <c r="A170" s="1"/>
      <c r="B170" s="1"/>
    </row>
    <row r="171" spans="1:3" x14ac:dyDescent="0.2">
      <c r="A171" s="1"/>
      <c r="B171" s="1"/>
    </row>
    <row r="172" spans="1:3" x14ac:dyDescent="0.2">
      <c r="A172" s="1"/>
      <c r="B172" s="1"/>
    </row>
    <row r="173" spans="1:3" x14ac:dyDescent="0.2">
      <c r="A173" s="1"/>
      <c r="B173" s="1"/>
    </row>
    <row r="174" spans="1:3" x14ac:dyDescent="0.2">
      <c r="A174" s="1"/>
      <c r="B174" s="1"/>
    </row>
    <row r="175" spans="1:3" x14ac:dyDescent="0.2">
      <c r="A175" s="1"/>
      <c r="B175" s="1"/>
    </row>
    <row r="176" spans="1:3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  <row r="185" spans="1:2" x14ac:dyDescent="0.2">
      <c r="A185" s="1"/>
      <c r="B185" s="1"/>
    </row>
    <row r="186" spans="1:2" x14ac:dyDescent="0.2">
      <c r="A186" s="1"/>
      <c r="B186" s="1"/>
    </row>
    <row r="187" spans="1:2" x14ac:dyDescent="0.2">
      <c r="A187" s="1"/>
      <c r="B187" s="1"/>
    </row>
    <row r="188" spans="1:2" x14ac:dyDescent="0.2">
      <c r="A188" s="1"/>
      <c r="B188" s="1"/>
    </row>
    <row r="189" spans="1:2" x14ac:dyDescent="0.2">
      <c r="A189" s="1"/>
      <c r="B189" s="1"/>
    </row>
    <row r="190" spans="1:2" x14ac:dyDescent="0.2">
      <c r="A190" s="1"/>
      <c r="B190" s="1"/>
    </row>
    <row r="191" spans="1:2" x14ac:dyDescent="0.2">
      <c r="A191" s="1"/>
      <c r="B191" s="1"/>
    </row>
    <row r="192" spans="1:2" x14ac:dyDescent="0.2">
      <c r="A192" s="1"/>
      <c r="B192" s="1"/>
    </row>
    <row r="193" spans="1:2" x14ac:dyDescent="0.2">
      <c r="A193" s="1"/>
      <c r="B193" s="1"/>
    </row>
    <row r="194" spans="1:2" x14ac:dyDescent="0.2">
      <c r="A194" s="1"/>
      <c r="B194" s="1"/>
    </row>
    <row r="195" spans="1:2" x14ac:dyDescent="0.2">
      <c r="A195" s="1"/>
      <c r="B195" s="1"/>
    </row>
    <row r="196" spans="1:2" x14ac:dyDescent="0.2">
      <c r="A196" s="1"/>
      <c r="B196" s="1"/>
    </row>
    <row r="197" spans="1:2" x14ac:dyDescent="0.2">
      <c r="A197" s="1"/>
      <c r="B197" s="1"/>
    </row>
    <row r="198" spans="1:2" x14ac:dyDescent="0.2">
      <c r="A198" s="1"/>
      <c r="B198" s="1"/>
    </row>
    <row r="199" spans="1:2" x14ac:dyDescent="0.2">
      <c r="A199" s="1"/>
      <c r="B199" s="1"/>
    </row>
    <row r="200" spans="1:2" x14ac:dyDescent="0.2">
      <c r="A200" s="1"/>
      <c r="B200" s="1"/>
    </row>
    <row r="201" spans="1:2" x14ac:dyDescent="0.2">
      <c r="A201" s="1"/>
      <c r="B201" s="1"/>
    </row>
    <row r="202" spans="1:2" x14ac:dyDescent="0.2">
      <c r="A202" s="1"/>
      <c r="B202" s="1"/>
    </row>
    <row r="203" spans="1:2" x14ac:dyDescent="0.2">
      <c r="A203" s="1"/>
      <c r="B203" s="1"/>
    </row>
    <row r="204" spans="1:2" x14ac:dyDescent="0.2">
      <c r="A204" s="1"/>
      <c r="B204" s="1"/>
    </row>
    <row r="205" spans="1:2" x14ac:dyDescent="0.2">
      <c r="A205" s="1"/>
      <c r="B205" s="1"/>
    </row>
    <row r="206" spans="1:2" x14ac:dyDescent="0.2">
      <c r="A206" s="1"/>
      <c r="B206" s="1"/>
    </row>
    <row r="207" spans="1:2" x14ac:dyDescent="0.2">
      <c r="A207" s="1"/>
      <c r="B207" s="1"/>
    </row>
    <row r="208" spans="1:2" x14ac:dyDescent="0.2">
      <c r="A208" s="1"/>
      <c r="B208" s="1"/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</sheetData>
  <mergeCells count="4">
    <mergeCell ref="A2:A97"/>
    <mergeCell ref="A98:A146"/>
    <mergeCell ref="A150:A164"/>
    <mergeCell ref="A147:A149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6272-F230-7E4C-B1D6-CE18A646FD78}">
  <dimension ref="A1:C149"/>
  <sheetViews>
    <sheetView topLeftCell="A96" workbookViewId="0">
      <selection activeCell="B173" sqref="B173"/>
    </sheetView>
  </sheetViews>
  <sheetFormatPr baseColWidth="10" defaultRowHeight="16" x14ac:dyDescent="0.2"/>
  <cols>
    <col min="1" max="1" width="20.6640625" customWidth="1"/>
    <col min="2" max="2" width="74.5" customWidth="1"/>
    <col min="3" max="3" width="21.83203125" customWidth="1"/>
  </cols>
  <sheetData>
    <row r="1" spans="1:3" x14ac:dyDescent="0.2">
      <c r="A1" t="s">
        <v>0</v>
      </c>
      <c r="B1" t="s">
        <v>12</v>
      </c>
      <c r="C1" t="s">
        <v>139</v>
      </c>
    </row>
    <row r="2" spans="1:3" ht="19" x14ac:dyDescent="0.25">
      <c r="A2" s="5" t="s">
        <v>1</v>
      </c>
      <c r="B2" t="s">
        <v>13</v>
      </c>
      <c r="C2" s="2" t="str">
        <f>_xlfn.TEXTAFTER(B2,"/",-1)</f>
        <v>Tabel1</v>
      </c>
    </row>
    <row r="3" spans="1:3" ht="19" x14ac:dyDescent="0.25">
      <c r="A3" s="5"/>
      <c r="B3" t="s">
        <v>14</v>
      </c>
      <c r="C3" s="2" t="str">
        <f t="shared" ref="C3:C48" si="0">_xlfn.TEXTAFTER(B3,"/",-1)</f>
        <v>Tabel2</v>
      </c>
    </row>
    <row r="4" spans="1:3" ht="19" x14ac:dyDescent="0.25">
      <c r="A4" s="5"/>
      <c r="B4" t="s">
        <v>15</v>
      </c>
      <c r="C4" s="2" t="str">
        <f t="shared" si="0"/>
        <v>Tabel3</v>
      </c>
    </row>
    <row r="5" spans="1:3" ht="19" x14ac:dyDescent="0.25">
      <c r="A5" s="5"/>
      <c r="B5" t="s">
        <v>16</v>
      </c>
      <c r="C5" s="2" t="str">
        <f t="shared" si="0"/>
        <v>Tabel3A</v>
      </c>
    </row>
    <row r="6" spans="1:3" ht="19" x14ac:dyDescent="0.25">
      <c r="A6" s="5"/>
      <c r="B6" t="s">
        <v>17</v>
      </c>
      <c r="C6" s="2" t="str">
        <f t="shared" si="0"/>
        <v>Tabel3B</v>
      </c>
    </row>
    <row r="7" spans="1:3" ht="19" x14ac:dyDescent="0.25">
      <c r="A7" s="5"/>
      <c r="B7" t="s">
        <v>18</v>
      </c>
      <c r="C7" s="2" t="str">
        <f t="shared" si="0"/>
        <v>Tabel3C</v>
      </c>
    </row>
    <row r="8" spans="1:3" ht="19" x14ac:dyDescent="0.25">
      <c r="A8" s="5"/>
      <c r="B8" t="s">
        <v>19</v>
      </c>
      <c r="C8" s="2" t="str">
        <f t="shared" si="0"/>
        <v>Tabel3D</v>
      </c>
    </row>
    <row r="9" spans="1:3" ht="19" x14ac:dyDescent="0.25">
      <c r="A9" s="5"/>
      <c r="B9" t="s">
        <v>20</v>
      </c>
      <c r="C9" s="2" t="str">
        <f t="shared" si="0"/>
        <v>Tabel3E</v>
      </c>
    </row>
    <row r="10" spans="1:3" ht="19" x14ac:dyDescent="0.25">
      <c r="A10" s="5"/>
      <c r="B10" t="s">
        <v>21</v>
      </c>
      <c r="C10" s="2" t="str">
        <f t="shared" si="0"/>
        <v>Tabel3F</v>
      </c>
    </row>
    <row r="11" spans="1:3" ht="19" x14ac:dyDescent="0.25">
      <c r="A11" s="5"/>
      <c r="B11" t="s">
        <v>22</v>
      </c>
      <c r="C11" s="2" t="str">
        <f t="shared" si="0"/>
        <v>Tabel4</v>
      </c>
    </row>
    <row r="12" spans="1:3" ht="19" x14ac:dyDescent="0.25">
      <c r="A12" s="5"/>
      <c r="B12" t="s">
        <v>23</v>
      </c>
      <c r="C12" s="2" t="str">
        <f t="shared" si="0"/>
        <v>Tabel5</v>
      </c>
    </row>
    <row r="13" spans="1:3" ht="19" x14ac:dyDescent="0.25">
      <c r="A13" s="5"/>
      <c r="B13" t="s">
        <v>24</v>
      </c>
      <c r="C13" s="2" t="str">
        <f t="shared" si="0"/>
        <v>Tabel6</v>
      </c>
    </row>
    <row r="14" spans="1:3" ht="19" x14ac:dyDescent="0.25">
      <c r="A14" s="5"/>
      <c r="B14" t="s">
        <v>25</v>
      </c>
      <c r="C14" s="2" t="str">
        <f t="shared" si="0"/>
        <v>Tabel7</v>
      </c>
    </row>
    <row r="15" spans="1:3" ht="19" x14ac:dyDescent="0.25">
      <c r="A15" s="5"/>
      <c r="B15" t="s">
        <v>26</v>
      </c>
      <c r="C15" s="2" t="str">
        <f t="shared" si="0"/>
        <v>Tabel8</v>
      </c>
    </row>
    <row r="16" spans="1:3" ht="19" x14ac:dyDescent="0.25">
      <c r="A16" s="5"/>
      <c r="B16" t="s">
        <v>27</v>
      </c>
      <c r="C16" s="2" t="str">
        <f t="shared" si="0"/>
        <v>Tabel9</v>
      </c>
    </row>
    <row r="17" spans="1:3" ht="19" x14ac:dyDescent="0.25">
      <c r="A17" s="5"/>
      <c r="B17" t="s">
        <v>28</v>
      </c>
      <c r="C17" s="2" t="str">
        <f t="shared" si="0"/>
        <v>Tabel9A</v>
      </c>
    </row>
    <row r="18" spans="1:3" ht="19" x14ac:dyDescent="0.25">
      <c r="A18" s="5"/>
      <c r="B18" t="s">
        <v>29</v>
      </c>
      <c r="C18" s="2" t="str">
        <f t="shared" si="0"/>
        <v>Tabel9B</v>
      </c>
    </row>
    <row r="19" spans="1:3" ht="19" x14ac:dyDescent="0.25">
      <c r="A19" s="5"/>
      <c r="B19" t="s">
        <v>30</v>
      </c>
      <c r="C19" s="2" t="str">
        <f t="shared" si="0"/>
        <v>Tabel9C</v>
      </c>
    </row>
    <row r="20" spans="1:3" ht="19" x14ac:dyDescent="0.25">
      <c r="A20" s="5"/>
      <c r="B20" t="s">
        <v>31</v>
      </c>
      <c r="C20" s="2" t="str">
        <f t="shared" si="0"/>
        <v>Tabel9D</v>
      </c>
    </row>
    <row r="21" spans="1:3" ht="19" x14ac:dyDescent="0.25">
      <c r="A21" s="5"/>
      <c r="B21" t="s">
        <v>32</v>
      </c>
      <c r="C21" s="2" t="str">
        <f t="shared" si="0"/>
        <v>Tabel9E</v>
      </c>
    </row>
    <row r="22" spans="1:3" ht="19" x14ac:dyDescent="0.25">
      <c r="A22" s="5"/>
      <c r="B22" t="s">
        <v>33</v>
      </c>
      <c r="C22" s="2" t="str">
        <f t="shared" si="0"/>
        <v>Tabel9F</v>
      </c>
    </row>
    <row r="23" spans="1:3" ht="19" x14ac:dyDescent="0.25">
      <c r="A23" s="5"/>
      <c r="B23" t="s">
        <v>34</v>
      </c>
      <c r="C23" s="2" t="str">
        <f t="shared" si="0"/>
        <v>Tabel10</v>
      </c>
    </row>
    <row r="24" spans="1:3" ht="19" x14ac:dyDescent="0.25">
      <c r="A24" s="5"/>
      <c r="B24" t="s">
        <v>35</v>
      </c>
      <c r="C24" s="2" t="str">
        <f t="shared" si="0"/>
        <v>Tabel10A</v>
      </c>
    </row>
    <row r="25" spans="1:3" ht="19" x14ac:dyDescent="0.25">
      <c r="A25" s="5"/>
      <c r="B25" t="s">
        <v>36</v>
      </c>
      <c r="C25" s="2" t="str">
        <f t="shared" si="0"/>
        <v>Tabel10B</v>
      </c>
    </row>
    <row r="26" spans="1:3" ht="19" x14ac:dyDescent="0.25">
      <c r="A26" s="5"/>
      <c r="B26" t="s">
        <v>37</v>
      </c>
      <c r="C26" s="2" t="str">
        <f t="shared" si="0"/>
        <v>Tabel10C</v>
      </c>
    </row>
    <row r="27" spans="1:3" ht="19" x14ac:dyDescent="0.25">
      <c r="A27" s="5"/>
      <c r="B27" t="s">
        <v>38</v>
      </c>
      <c r="C27" s="2" t="str">
        <f t="shared" si="0"/>
        <v>Tabel10D</v>
      </c>
    </row>
    <row r="28" spans="1:3" ht="19" x14ac:dyDescent="0.25">
      <c r="A28" s="5"/>
      <c r="B28" t="s">
        <v>39</v>
      </c>
      <c r="C28" s="2" t="str">
        <f t="shared" si="0"/>
        <v>Tabel10E</v>
      </c>
    </row>
    <row r="29" spans="1:3" ht="19" x14ac:dyDescent="0.25">
      <c r="A29" s="5"/>
      <c r="B29" t="s">
        <v>40</v>
      </c>
      <c r="C29" s="2" t="str">
        <f t="shared" si="0"/>
        <v>Tabel10F</v>
      </c>
    </row>
    <row r="30" spans="1:3" ht="19" x14ac:dyDescent="0.25">
      <c r="A30" s="5"/>
      <c r="B30" t="s">
        <v>41</v>
      </c>
      <c r="C30" s="2" t="str">
        <f t="shared" si="0"/>
        <v>Tabel11</v>
      </c>
    </row>
    <row r="31" spans="1:3" ht="19" x14ac:dyDescent="0.25">
      <c r="A31" s="5"/>
      <c r="B31" t="s">
        <v>42</v>
      </c>
      <c r="C31" s="2" t="str">
        <f t="shared" si="0"/>
        <v>Tabel11A</v>
      </c>
    </row>
    <row r="32" spans="1:3" ht="19" x14ac:dyDescent="0.25">
      <c r="A32" s="5"/>
      <c r="B32" t="s">
        <v>43</v>
      </c>
      <c r="C32" s="2" t="str">
        <f t="shared" si="0"/>
        <v>Tabel11ALanjut</v>
      </c>
    </row>
    <row r="33" spans="1:3" ht="19" x14ac:dyDescent="0.25">
      <c r="A33" s="5"/>
      <c r="B33" t="s">
        <v>44</v>
      </c>
      <c r="C33" s="2" t="str">
        <f t="shared" si="0"/>
        <v>Tabel11Lanjut</v>
      </c>
    </row>
    <row r="34" spans="1:3" ht="19" x14ac:dyDescent="0.25">
      <c r="A34" s="5"/>
      <c r="B34" t="s">
        <v>45</v>
      </c>
      <c r="C34" s="2" t="str">
        <f t="shared" si="0"/>
        <v>Tabel12</v>
      </c>
    </row>
    <row r="35" spans="1:3" ht="19" x14ac:dyDescent="0.25">
      <c r="A35" s="5"/>
      <c r="B35" t="s">
        <v>46</v>
      </c>
      <c r="C35" s="2" t="str">
        <f t="shared" si="0"/>
        <v>Tabel12A</v>
      </c>
    </row>
    <row r="36" spans="1:3" ht="19" x14ac:dyDescent="0.25">
      <c r="A36" s="5"/>
      <c r="B36" t="s">
        <v>47</v>
      </c>
      <c r="C36" s="2" t="str">
        <f t="shared" si="0"/>
        <v>Tabel12ALanjut</v>
      </c>
    </row>
    <row r="37" spans="1:3" ht="19" x14ac:dyDescent="0.25">
      <c r="A37" s="5"/>
      <c r="B37" t="s">
        <v>48</v>
      </c>
      <c r="C37" s="2" t="str">
        <f t="shared" si="0"/>
        <v>Tabel12Lanjut</v>
      </c>
    </row>
    <row r="38" spans="1:3" ht="19" x14ac:dyDescent="0.25">
      <c r="A38" s="5"/>
      <c r="B38" t="s">
        <v>49</v>
      </c>
      <c r="C38" s="2" t="str">
        <f t="shared" si="0"/>
        <v>Tabel13</v>
      </c>
    </row>
    <row r="39" spans="1:3" ht="19" x14ac:dyDescent="0.25">
      <c r="A39" s="5"/>
      <c r="B39" t="s">
        <v>50</v>
      </c>
      <c r="C39" s="2" t="str">
        <f t="shared" si="0"/>
        <v>Tabel13A</v>
      </c>
    </row>
    <row r="40" spans="1:3" ht="19" x14ac:dyDescent="0.25">
      <c r="A40" s="5"/>
      <c r="B40" t="s">
        <v>51</v>
      </c>
      <c r="C40" s="2" t="str">
        <f t="shared" si="0"/>
        <v>Tabel13ALanjut</v>
      </c>
    </row>
    <row r="41" spans="1:3" ht="19" x14ac:dyDescent="0.25">
      <c r="A41" s="5"/>
      <c r="B41" t="s">
        <v>52</v>
      </c>
      <c r="C41" s="2" t="str">
        <f t="shared" si="0"/>
        <v>Tabel13Lanjut</v>
      </c>
    </row>
    <row r="42" spans="1:3" ht="19" x14ac:dyDescent="0.25">
      <c r="A42" s="5"/>
      <c r="B42" t="s">
        <v>53</v>
      </c>
      <c r="C42" s="2" t="str">
        <f t="shared" si="0"/>
        <v>Tabel14</v>
      </c>
    </row>
    <row r="43" spans="1:3" ht="19" x14ac:dyDescent="0.25">
      <c r="A43" s="5"/>
      <c r="B43" t="s">
        <v>54</v>
      </c>
      <c r="C43" s="2" t="str">
        <f t="shared" si="0"/>
        <v>Tabel15</v>
      </c>
    </row>
    <row r="44" spans="1:3" ht="19" x14ac:dyDescent="0.25">
      <c r="A44" s="5"/>
      <c r="B44" t="s">
        <v>55</v>
      </c>
      <c r="C44" s="2" t="str">
        <f t="shared" si="0"/>
        <v>Tabel16</v>
      </c>
    </row>
    <row r="45" spans="1:3" ht="19" x14ac:dyDescent="0.25">
      <c r="A45" s="5"/>
      <c r="B45" t="s">
        <v>56</v>
      </c>
      <c r="C45" s="2" t="str">
        <f t="shared" si="0"/>
        <v>Tabel17</v>
      </c>
    </row>
    <row r="46" spans="1:3" ht="19" x14ac:dyDescent="0.25">
      <c r="A46" s="5"/>
      <c r="B46" t="s">
        <v>57</v>
      </c>
      <c r="C46" s="2" t="str">
        <f t="shared" si="0"/>
        <v>Tabel18</v>
      </c>
    </row>
    <row r="47" spans="1:3" ht="19" x14ac:dyDescent="0.25">
      <c r="A47" s="5"/>
      <c r="B47" t="s">
        <v>58</v>
      </c>
      <c r="C47" s="2" t="str">
        <f t="shared" si="0"/>
        <v>Tabel19</v>
      </c>
    </row>
    <row r="48" spans="1:3" ht="19" x14ac:dyDescent="0.25">
      <c r="A48" s="5"/>
      <c r="B48" t="s">
        <v>58</v>
      </c>
      <c r="C48" s="2" t="str">
        <f t="shared" si="0"/>
        <v>Tabel19</v>
      </c>
    </row>
    <row r="49" spans="1:3" ht="19" x14ac:dyDescent="0.25">
      <c r="A49" s="5"/>
      <c r="B49" t="s">
        <v>59</v>
      </c>
      <c r="C49" s="2" t="str">
        <f>_xlfn.TEXTAFTER(B49,"/",-1) &amp; " Komulatif"</f>
        <v>Tabel20 Komulatif</v>
      </c>
    </row>
    <row r="50" spans="1:3" ht="19" x14ac:dyDescent="0.25">
      <c r="A50" s="5"/>
      <c r="B50" t="s">
        <v>60</v>
      </c>
      <c r="C50" s="2" t="str">
        <f t="shared" ref="C50:C97" si="1">_xlfn.TEXTAFTER(B50,"/",-1) &amp; " Komulatif"</f>
        <v>Tabel21 Komulatif</v>
      </c>
    </row>
    <row r="51" spans="1:3" ht="19" x14ac:dyDescent="0.25">
      <c r="A51" s="5"/>
      <c r="B51" t="s">
        <v>61</v>
      </c>
      <c r="C51" s="2" t="str">
        <f t="shared" si="1"/>
        <v>Tabel21A Komulatif</v>
      </c>
    </row>
    <row r="52" spans="1:3" ht="19" x14ac:dyDescent="0.25">
      <c r="A52" s="5"/>
      <c r="B52" t="s">
        <v>62</v>
      </c>
      <c r="C52" s="2" t="str">
        <f t="shared" si="1"/>
        <v>Tabel21B Komulatif</v>
      </c>
    </row>
    <row r="53" spans="1:3" ht="19" x14ac:dyDescent="0.25">
      <c r="A53" s="5"/>
      <c r="B53" t="s">
        <v>63</v>
      </c>
      <c r="C53" s="2" t="str">
        <f t="shared" si="1"/>
        <v>Tabel21C Komulatif</v>
      </c>
    </row>
    <row r="54" spans="1:3" ht="19" x14ac:dyDescent="0.25">
      <c r="A54" s="5"/>
      <c r="B54" t="s">
        <v>64</v>
      </c>
      <c r="C54" s="2" t="str">
        <f t="shared" si="1"/>
        <v>Tabel21D Komulatif</v>
      </c>
    </row>
    <row r="55" spans="1:3" ht="19" x14ac:dyDescent="0.25">
      <c r="A55" s="5"/>
      <c r="B55" t="s">
        <v>65</v>
      </c>
      <c r="C55" s="2" t="str">
        <f t="shared" si="1"/>
        <v>Tabel21E Komulatif</v>
      </c>
    </row>
    <row r="56" spans="1:3" ht="19" x14ac:dyDescent="0.25">
      <c r="A56" s="5"/>
      <c r="B56" t="s">
        <v>66</v>
      </c>
      <c r="C56" s="2" t="str">
        <f t="shared" si="1"/>
        <v>Tabel21F Komulatif</v>
      </c>
    </row>
    <row r="57" spans="1:3" ht="19" x14ac:dyDescent="0.25">
      <c r="A57" s="5"/>
      <c r="B57" t="s">
        <v>67</v>
      </c>
      <c r="C57" s="2" t="str">
        <f t="shared" si="1"/>
        <v>Tabel22 Komulatif</v>
      </c>
    </row>
    <row r="58" spans="1:3" ht="19" x14ac:dyDescent="0.25">
      <c r="A58" s="5"/>
      <c r="B58" t="s">
        <v>68</v>
      </c>
      <c r="C58" s="2" t="str">
        <f t="shared" si="1"/>
        <v>Tabel23 Komulatif</v>
      </c>
    </row>
    <row r="59" spans="1:3" ht="19" x14ac:dyDescent="0.25">
      <c r="A59" s="5"/>
      <c r="B59" t="s">
        <v>69</v>
      </c>
      <c r="C59" s="2" t="str">
        <f t="shared" si="1"/>
        <v>Tabel24 Komulatif</v>
      </c>
    </row>
    <row r="60" spans="1:3" ht="19" x14ac:dyDescent="0.25">
      <c r="A60" s="5"/>
      <c r="B60" t="s">
        <v>70</v>
      </c>
      <c r="C60" s="2" t="str">
        <f t="shared" si="1"/>
        <v>Tabel25 Komulatif</v>
      </c>
    </row>
    <row r="61" spans="1:3" ht="19" x14ac:dyDescent="0.25">
      <c r="A61" s="5"/>
      <c r="B61" t="s">
        <v>71</v>
      </c>
      <c r="C61" s="2" t="str">
        <f t="shared" si="1"/>
        <v>Tabel26 Komulatif</v>
      </c>
    </row>
    <row r="62" spans="1:3" ht="19" x14ac:dyDescent="0.25">
      <c r="A62" s="5"/>
      <c r="B62" t="s">
        <v>72</v>
      </c>
      <c r="C62" s="2" t="str">
        <f t="shared" si="1"/>
        <v>Tabel27 Komulatif</v>
      </c>
    </row>
    <row r="63" spans="1:3" ht="19" x14ac:dyDescent="0.25">
      <c r="A63" s="5"/>
      <c r="B63" t="s">
        <v>73</v>
      </c>
      <c r="C63" s="2" t="str">
        <f t="shared" si="1"/>
        <v>Tabel27A Komulatif</v>
      </c>
    </row>
    <row r="64" spans="1:3" ht="19" x14ac:dyDescent="0.25">
      <c r="A64" s="5"/>
      <c r="B64" t="s">
        <v>74</v>
      </c>
      <c r="C64" s="2" t="str">
        <f t="shared" si="1"/>
        <v>Tabel27B Komulatif</v>
      </c>
    </row>
    <row r="65" spans="1:3" ht="19" x14ac:dyDescent="0.25">
      <c r="A65" s="5"/>
      <c r="B65" t="s">
        <v>75</v>
      </c>
      <c r="C65" s="2" t="str">
        <f t="shared" si="1"/>
        <v>Tabel27C Komulatif</v>
      </c>
    </row>
    <row r="66" spans="1:3" ht="19" x14ac:dyDescent="0.25">
      <c r="A66" s="5"/>
      <c r="B66" t="s">
        <v>76</v>
      </c>
      <c r="C66" s="2" t="str">
        <f t="shared" si="1"/>
        <v>Tabel27D Komulatif</v>
      </c>
    </row>
    <row r="67" spans="1:3" ht="19" x14ac:dyDescent="0.25">
      <c r="A67" s="5"/>
      <c r="B67" t="s">
        <v>77</v>
      </c>
      <c r="C67" s="2" t="str">
        <f t="shared" si="1"/>
        <v>Tabel27E Komulatif</v>
      </c>
    </row>
    <row r="68" spans="1:3" ht="19" x14ac:dyDescent="0.25">
      <c r="A68" s="5"/>
      <c r="B68" t="s">
        <v>78</v>
      </c>
      <c r="C68" s="2" t="str">
        <f t="shared" si="1"/>
        <v>Tabel27F Komulatif</v>
      </c>
    </row>
    <row r="69" spans="1:3" ht="19" x14ac:dyDescent="0.25">
      <c r="A69" s="5"/>
      <c r="B69" t="s">
        <v>79</v>
      </c>
      <c r="C69" s="2" t="str">
        <f t="shared" si="1"/>
        <v>Tabel28 Komulatif</v>
      </c>
    </row>
    <row r="70" spans="1:3" ht="19" x14ac:dyDescent="0.25">
      <c r="A70" s="5"/>
      <c r="B70" t="s">
        <v>80</v>
      </c>
      <c r="C70" s="2" t="str">
        <f t="shared" si="1"/>
        <v>Tabel28A Komulatif</v>
      </c>
    </row>
    <row r="71" spans="1:3" ht="19" x14ac:dyDescent="0.25">
      <c r="A71" s="5"/>
      <c r="B71" t="s">
        <v>81</v>
      </c>
      <c r="C71" s="2" t="str">
        <f t="shared" si="1"/>
        <v>Tabel28B Komulatif</v>
      </c>
    </row>
    <row r="72" spans="1:3" ht="19" x14ac:dyDescent="0.25">
      <c r="A72" s="5"/>
      <c r="B72" t="s">
        <v>82</v>
      </c>
      <c r="C72" s="2" t="str">
        <f t="shared" si="1"/>
        <v>Tabel28C Komulatif</v>
      </c>
    </row>
    <row r="73" spans="1:3" ht="19" x14ac:dyDescent="0.25">
      <c r="A73" s="5"/>
      <c r="B73" t="s">
        <v>83</v>
      </c>
      <c r="C73" s="2" t="str">
        <f t="shared" si="1"/>
        <v>Tabel28D Komulatif</v>
      </c>
    </row>
    <row r="74" spans="1:3" ht="19" x14ac:dyDescent="0.25">
      <c r="A74" s="5"/>
      <c r="B74" t="s">
        <v>84</v>
      </c>
      <c r="C74" s="2" t="str">
        <f t="shared" si="1"/>
        <v>Tabel28E Komulatif</v>
      </c>
    </row>
    <row r="75" spans="1:3" ht="19" x14ac:dyDescent="0.25">
      <c r="A75" s="5"/>
      <c r="B75" t="s">
        <v>85</v>
      </c>
      <c r="C75" s="2" t="str">
        <f t="shared" si="1"/>
        <v>Tabel28F Komulatif</v>
      </c>
    </row>
    <row r="76" spans="1:3" ht="19" x14ac:dyDescent="0.25">
      <c r="A76" s="5"/>
      <c r="B76" t="s">
        <v>86</v>
      </c>
      <c r="C76" s="2" t="str">
        <f t="shared" si="1"/>
        <v>Tabel29 Komulatif</v>
      </c>
    </row>
    <row r="77" spans="1:3" ht="19" x14ac:dyDescent="0.25">
      <c r="A77" s="5"/>
      <c r="B77" t="s">
        <v>87</v>
      </c>
      <c r="C77" s="2" t="str">
        <f t="shared" si="1"/>
        <v>Tabel30 Komulatif</v>
      </c>
    </row>
    <row r="78" spans="1:3" ht="19" x14ac:dyDescent="0.25">
      <c r="A78" s="5"/>
      <c r="B78" t="s">
        <v>88</v>
      </c>
      <c r="C78" s="2" t="str">
        <f t="shared" si="1"/>
        <v>Tabel31 Komulatif</v>
      </c>
    </row>
    <row r="79" spans="1:3" ht="19" x14ac:dyDescent="0.25">
      <c r="A79" s="5"/>
      <c r="B79" t="s">
        <v>89</v>
      </c>
      <c r="C79" s="2" t="str">
        <f t="shared" si="1"/>
        <v>Tabel32 Komulatif</v>
      </c>
    </row>
    <row r="80" spans="1:3" ht="19" x14ac:dyDescent="0.25">
      <c r="A80" s="5"/>
      <c r="B80" t="s">
        <v>90</v>
      </c>
      <c r="C80" s="2" t="str">
        <f t="shared" si="1"/>
        <v>Tabel33 Komulatif</v>
      </c>
    </row>
    <row r="81" spans="1:3" ht="19" x14ac:dyDescent="0.25">
      <c r="A81" s="5"/>
      <c r="B81" t="s">
        <v>91</v>
      </c>
      <c r="C81" s="2" t="str">
        <f t="shared" si="1"/>
        <v>Tabel34 Komulatif</v>
      </c>
    </row>
    <row r="82" spans="1:3" ht="19" x14ac:dyDescent="0.25">
      <c r="A82" s="5"/>
      <c r="B82" t="s">
        <v>92</v>
      </c>
      <c r="C82" s="2" t="str">
        <f t="shared" si="1"/>
        <v>Tabel35 Komulatif</v>
      </c>
    </row>
    <row r="83" spans="1:3" ht="19" x14ac:dyDescent="0.25">
      <c r="A83" s="5"/>
      <c r="B83" t="s">
        <v>93</v>
      </c>
      <c r="C83" s="2" t="str">
        <f t="shared" si="1"/>
        <v>Tabel35A Komulatif</v>
      </c>
    </row>
    <row r="84" spans="1:3" ht="19" x14ac:dyDescent="0.25">
      <c r="A84" s="5"/>
      <c r="B84" t="s">
        <v>94</v>
      </c>
      <c r="C84" s="2" t="str">
        <f t="shared" si="1"/>
        <v>Tabel35B Komulatif</v>
      </c>
    </row>
    <row r="85" spans="1:3" ht="19" x14ac:dyDescent="0.25">
      <c r="A85" s="5"/>
      <c r="B85" t="s">
        <v>95</v>
      </c>
      <c r="C85" s="2" t="str">
        <f t="shared" si="1"/>
        <v>Tabel35C Komulatif</v>
      </c>
    </row>
    <row r="86" spans="1:3" ht="19" x14ac:dyDescent="0.25">
      <c r="A86" s="5"/>
      <c r="B86" t="s">
        <v>96</v>
      </c>
      <c r="C86" s="2" t="str">
        <f t="shared" si="1"/>
        <v>Tabel36 Komulatif</v>
      </c>
    </row>
    <row r="87" spans="1:3" ht="19" x14ac:dyDescent="0.25">
      <c r="A87" s="5"/>
      <c r="B87" t="s">
        <v>97</v>
      </c>
      <c r="C87" s="2" t="str">
        <f t="shared" si="1"/>
        <v>Tabel36A Komulatif</v>
      </c>
    </row>
    <row r="88" spans="1:3" ht="19" x14ac:dyDescent="0.25">
      <c r="A88" s="5"/>
      <c r="B88" t="s">
        <v>98</v>
      </c>
      <c r="C88" s="2" t="str">
        <f t="shared" si="1"/>
        <v>Tabel36B Komulatif</v>
      </c>
    </row>
    <row r="89" spans="1:3" ht="19" x14ac:dyDescent="0.25">
      <c r="A89" s="5"/>
      <c r="B89" t="s">
        <v>99</v>
      </c>
      <c r="C89" s="2" t="str">
        <f t="shared" si="1"/>
        <v>Tabel36C Komulatif</v>
      </c>
    </row>
    <row r="90" spans="1:3" ht="19" x14ac:dyDescent="0.25">
      <c r="A90" s="5"/>
      <c r="B90" t="s">
        <v>100</v>
      </c>
      <c r="C90" s="2" t="str">
        <f t="shared" si="1"/>
        <v>Tabel37 Komulatif</v>
      </c>
    </row>
    <row r="91" spans="1:3" ht="19" x14ac:dyDescent="0.25">
      <c r="A91" s="5"/>
      <c r="B91" t="s">
        <v>101</v>
      </c>
      <c r="C91" s="2" t="str">
        <f t="shared" si="1"/>
        <v>Tabel37A Komulatif</v>
      </c>
    </row>
    <row r="92" spans="1:3" ht="19" x14ac:dyDescent="0.25">
      <c r="A92" s="5"/>
      <c r="B92" t="s">
        <v>102</v>
      </c>
      <c r="C92" s="2" t="str">
        <f t="shared" si="1"/>
        <v>Tabel37B Komulatif</v>
      </c>
    </row>
    <row r="93" spans="1:3" ht="19" x14ac:dyDescent="0.25">
      <c r="A93" s="5"/>
      <c r="B93" t="s">
        <v>103</v>
      </c>
      <c r="C93" s="2" t="str">
        <f t="shared" si="1"/>
        <v>Tabel37C Komulatif</v>
      </c>
    </row>
    <row r="94" spans="1:3" ht="19" x14ac:dyDescent="0.25">
      <c r="A94" s="5"/>
      <c r="B94" t="s">
        <v>104</v>
      </c>
      <c r="C94" s="2" t="str">
        <f t="shared" si="1"/>
        <v>Tabel38 Komulatif</v>
      </c>
    </row>
    <row r="95" spans="1:3" ht="19" x14ac:dyDescent="0.25">
      <c r="A95" s="5"/>
      <c r="B95" t="s">
        <v>105</v>
      </c>
      <c r="C95" s="2" t="str">
        <f t="shared" si="1"/>
        <v>Tabel38A Komulatif</v>
      </c>
    </row>
    <row r="96" spans="1:3" ht="19" x14ac:dyDescent="0.25">
      <c r="A96" s="5"/>
      <c r="B96" t="s">
        <v>106</v>
      </c>
      <c r="C96" s="2" t="str">
        <f t="shared" si="1"/>
        <v>Tabel38B Komulatif</v>
      </c>
    </row>
    <row r="97" spans="1:3" ht="19" x14ac:dyDescent="0.25">
      <c r="A97" s="5"/>
      <c r="B97" t="s">
        <v>107</v>
      </c>
      <c r="C97" s="2" t="str">
        <f t="shared" si="1"/>
        <v>Tabel38C Komulatif</v>
      </c>
    </row>
    <row r="98" spans="1:3" ht="19" x14ac:dyDescent="0.25">
      <c r="A98" s="5" t="s">
        <v>2</v>
      </c>
      <c r="B98" t="s">
        <v>108</v>
      </c>
      <c r="C98" s="2" t="str">
        <f t="shared" ref="C98:C128" si="2">_xlfn.TEXTAFTER(B98,"/",-1)</f>
        <v>Tabel1</v>
      </c>
    </row>
    <row r="99" spans="1:3" ht="19" x14ac:dyDescent="0.25">
      <c r="A99" s="5"/>
      <c r="B99" t="s">
        <v>109</v>
      </c>
      <c r="C99" s="2" t="str">
        <f t="shared" si="2"/>
        <v>Tabel2</v>
      </c>
    </row>
    <row r="100" spans="1:3" ht="19" x14ac:dyDescent="0.25">
      <c r="A100" s="5"/>
      <c r="B100" t="s">
        <v>110</v>
      </c>
      <c r="C100" s="2" t="str">
        <f t="shared" si="2"/>
        <v>Tabel3A</v>
      </c>
    </row>
    <row r="101" spans="1:3" ht="19" x14ac:dyDescent="0.25">
      <c r="A101" s="5"/>
      <c r="B101" t="s">
        <v>111</v>
      </c>
      <c r="C101" s="2" t="str">
        <f t="shared" si="2"/>
        <v>Tabel3B</v>
      </c>
    </row>
    <row r="102" spans="1:3" ht="19" x14ac:dyDescent="0.25">
      <c r="A102" s="5"/>
      <c r="B102" t="s">
        <v>112</v>
      </c>
      <c r="C102" s="2" t="str">
        <f t="shared" si="2"/>
        <v>Tabel3C</v>
      </c>
    </row>
    <row r="103" spans="1:3" ht="19" x14ac:dyDescent="0.25">
      <c r="A103" s="5"/>
      <c r="B103" t="s">
        <v>113</v>
      </c>
      <c r="C103" s="2" t="str">
        <f t="shared" si="2"/>
        <v>Tabel3D</v>
      </c>
    </row>
    <row r="104" spans="1:3" ht="19" x14ac:dyDescent="0.25">
      <c r="A104" s="5"/>
      <c r="B104" t="s">
        <v>114</v>
      </c>
      <c r="C104" s="2" t="str">
        <f t="shared" si="2"/>
        <v>Tabel3E</v>
      </c>
    </row>
    <row r="105" spans="1:3" ht="19" x14ac:dyDescent="0.25">
      <c r="A105" s="5"/>
      <c r="B105" t="s">
        <v>115</v>
      </c>
      <c r="C105" s="2" t="str">
        <f t="shared" si="2"/>
        <v>Tabel3F</v>
      </c>
    </row>
    <row r="106" spans="1:3" ht="19" x14ac:dyDescent="0.25">
      <c r="A106" s="5"/>
      <c r="B106" t="s">
        <v>116</v>
      </c>
      <c r="C106" s="2" t="str">
        <f t="shared" si="2"/>
        <v>Tabel4A</v>
      </c>
    </row>
    <row r="107" spans="1:3" ht="19" x14ac:dyDescent="0.25">
      <c r="A107" s="5"/>
      <c r="B107" t="s">
        <v>117</v>
      </c>
      <c r="C107" s="2" t="str">
        <f t="shared" si="2"/>
        <v>Tabel4B</v>
      </c>
    </row>
    <row r="108" spans="1:3" ht="19" x14ac:dyDescent="0.25">
      <c r="A108" s="5"/>
      <c r="B108" t="s">
        <v>118</v>
      </c>
      <c r="C108" s="2" t="str">
        <f t="shared" si="2"/>
        <v>Tabel5A</v>
      </c>
    </row>
    <row r="109" spans="1:3" ht="19" x14ac:dyDescent="0.25">
      <c r="A109" s="5"/>
      <c r="B109" t="s">
        <v>119</v>
      </c>
      <c r="C109" s="2" t="str">
        <f t="shared" si="2"/>
        <v>Tabel5B</v>
      </c>
    </row>
    <row r="110" spans="1:3" ht="19" x14ac:dyDescent="0.25">
      <c r="A110" s="5"/>
      <c r="B110" t="s">
        <v>120</v>
      </c>
      <c r="C110" s="2" t="str">
        <f t="shared" si="2"/>
        <v>Tabel6A</v>
      </c>
    </row>
    <row r="111" spans="1:3" ht="19" x14ac:dyDescent="0.25">
      <c r="A111" s="5"/>
      <c r="B111" t="s">
        <v>121</v>
      </c>
      <c r="C111" s="2" t="str">
        <f t="shared" si="2"/>
        <v>Tabel6B</v>
      </c>
    </row>
    <row r="112" spans="1:3" ht="19" x14ac:dyDescent="0.25">
      <c r="A112" s="5"/>
      <c r="B112" t="s">
        <v>122</v>
      </c>
      <c r="C112" s="2" t="str">
        <f t="shared" si="2"/>
        <v>Tabel6C</v>
      </c>
    </row>
    <row r="113" spans="1:3" ht="19" x14ac:dyDescent="0.25">
      <c r="A113" s="5"/>
      <c r="B113" t="s">
        <v>123</v>
      </c>
      <c r="C113" s="2" t="str">
        <f t="shared" si="2"/>
        <v>Tabel7A</v>
      </c>
    </row>
    <row r="114" spans="1:3" ht="19" x14ac:dyDescent="0.25">
      <c r="A114" s="5"/>
      <c r="B114" t="s">
        <v>124</v>
      </c>
      <c r="C114" s="2" t="str">
        <f t="shared" si="2"/>
        <v>Tabel7B</v>
      </c>
    </row>
    <row r="115" spans="1:3" ht="19" x14ac:dyDescent="0.25">
      <c r="A115" s="5"/>
      <c r="B115" t="s">
        <v>125</v>
      </c>
      <c r="C115" s="2" t="str">
        <f t="shared" si="2"/>
        <v>Tabel7C</v>
      </c>
    </row>
    <row r="116" spans="1:3" ht="19" x14ac:dyDescent="0.25">
      <c r="A116" s="5"/>
      <c r="B116" t="s">
        <v>126</v>
      </c>
      <c r="C116" s="2" t="str">
        <f t="shared" si="2"/>
        <v>Tabel8</v>
      </c>
    </row>
    <row r="117" spans="1:3" ht="19" x14ac:dyDescent="0.25">
      <c r="A117" s="5"/>
      <c r="B117" t="s">
        <v>127</v>
      </c>
      <c r="C117" s="2" t="str">
        <f t="shared" si="2"/>
        <v>Tabel9</v>
      </c>
    </row>
    <row r="118" spans="1:3" ht="19" x14ac:dyDescent="0.25">
      <c r="A118" s="5"/>
      <c r="B118" t="s">
        <v>128</v>
      </c>
      <c r="C118" s="2" t="str">
        <f t="shared" si="2"/>
        <v>Tabel10</v>
      </c>
    </row>
    <row r="119" spans="1:3" ht="19" x14ac:dyDescent="0.25">
      <c r="A119" s="5"/>
      <c r="B119" t="s">
        <v>129</v>
      </c>
      <c r="C119" s="2" t="str">
        <f t="shared" si="2"/>
        <v>Tabel11</v>
      </c>
    </row>
    <row r="120" spans="1:3" ht="19" x14ac:dyDescent="0.25">
      <c r="A120" s="5"/>
      <c r="B120" t="s">
        <v>130</v>
      </c>
      <c r="C120" s="2" t="str">
        <f t="shared" si="2"/>
        <v>Tabel12</v>
      </c>
    </row>
    <row r="121" spans="1:3" ht="19" x14ac:dyDescent="0.25">
      <c r="A121" s="5"/>
      <c r="B121" t="s">
        <v>131</v>
      </c>
      <c r="C121" s="2" t="str">
        <f t="shared" si="2"/>
        <v>Tabel13</v>
      </c>
    </row>
    <row r="122" spans="1:3" ht="19" x14ac:dyDescent="0.25">
      <c r="A122" s="5"/>
      <c r="B122" t="s">
        <v>132</v>
      </c>
      <c r="C122" s="2" t="str">
        <f t="shared" si="2"/>
        <v>Tabel14</v>
      </c>
    </row>
    <row r="123" spans="1:3" ht="19" x14ac:dyDescent="0.25">
      <c r="A123" s="5"/>
      <c r="B123" t="s">
        <v>133</v>
      </c>
      <c r="C123" s="2" t="str">
        <f t="shared" si="2"/>
        <v>Tabel15</v>
      </c>
    </row>
    <row r="124" spans="1:3" ht="19" x14ac:dyDescent="0.25">
      <c r="A124" s="5"/>
      <c r="B124" t="s">
        <v>134</v>
      </c>
      <c r="C124" s="2" t="str">
        <f t="shared" si="2"/>
        <v>Tabel16</v>
      </c>
    </row>
    <row r="125" spans="1:3" ht="19" x14ac:dyDescent="0.25">
      <c r="A125" s="5"/>
      <c r="B125" t="s">
        <v>135</v>
      </c>
      <c r="C125" s="2" t="str">
        <f t="shared" si="2"/>
        <v>Tabel17</v>
      </c>
    </row>
    <row r="126" spans="1:3" ht="19" x14ac:dyDescent="0.25">
      <c r="A126" s="5"/>
      <c r="B126" t="s">
        <v>136</v>
      </c>
      <c r="C126" s="2" t="str">
        <f t="shared" si="2"/>
        <v>Tabel18</v>
      </c>
    </row>
    <row r="127" spans="1:3" ht="19" x14ac:dyDescent="0.25">
      <c r="A127" s="5"/>
      <c r="B127" t="s">
        <v>137</v>
      </c>
      <c r="C127" s="2" t="str">
        <f t="shared" si="2"/>
        <v>Tabel19</v>
      </c>
    </row>
    <row r="128" spans="1:3" ht="19" x14ac:dyDescent="0.25">
      <c r="A128" s="5"/>
      <c r="B128" t="s">
        <v>138</v>
      </c>
      <c r="C128" s="2" t="str">
        <f t="shared" si="2"/>
        <v>Tabel20</v>
      </c>
    </row>
    <row r="129" spans="1:3" ht="19" x14ac:dyDescent="0.25">
      <c r="A129" s="5" t="s">
        <v>4</v>
      </c>
      <c r="B129" t="s">
        <v>140</v>
      </c>
      <c r="C129" s="2" t="str">
        <f>_xlfn.TEXTAFTER(B129,"/",-1)&amp; " Catin"</f>
        <v>Tabel1 Catin</v>
      </c>
    </row>
    <row r="130" spans="1:3" ht="19" x14ac:dyDescent="0.25">
      <c r="A130" s="5"/>
      <c r="B130" t="s">
        <v>141</v>
      </c>
      <c r="C130" s="2" t="str">
        <f t="shared" ref="C130:C132" si="3">_xlfn.TEXTAFTER(B130,"/",-1)&amp; " Catin"</f>
        <v>Tabel2 Catin</v>
      </c>
    </row>
    <row r="131" spans="1:3" ht="19" x14ac:dyDescent="0.25">
      <c r="A131" s="5"/>
      <c r="B131" t="s">
        <v>142</v>
      </c>
      <c r="C131" s="2" t="str">
        <f t="shared" si="3"/>
        <v>Tabel3 Catin</v>
      </c>
    </row>
    <row r="132" spans="1:3" ht="19" x14ac:dyDescent="0.25">
      <c r="A132" s="5"/>
      <c r="B132" t="s">
        <v>143</v>
      </c>
      <c r="C132" s="2" t="str">
        <f t="shared" si="3"/>
        <v>Tabel4 Catin</v>
      </c>
    </row>
    <row r="133" spans="1:3" ht="19" x14ac:dyDescent="0.25">
      <c r="A133" s="5"/>
      <c r="B133" t="s">
        <v>144</v>
      </c>
      <c r="C133" s="2" t="str">
        <f>_xlfn.TEXTAFTER(B133,"/",-1)&amp;" Bumil"</f>
        <v>Tabel1 Bumil</v>
      </c>
    </row>
    <row r="134" spans="1:3" ht="19" x14ac:dyDescent="0.25">
      <c r="A134" s="5"/>
      <c r="B134" t="s">
        <v>145</v>
      </c>
      <c r="C134" s="2" t="str">
        <f t="shared" ref="C134:C135" si="4">_xlfn.TEXTAFTER(B134,"/",-1)&amp;" Bumil"</f>
        <v>Tabel2 Bumil</v>
      </c>
    </row>
    <row r="135" spans="1:3" ht="19" x14ac:dyDescent="0.25">
      <c r="A135" s="5"/>
      <c r="B135" t="s">
        <v>146</v>
      </c>
      <c r="C135" s="2" t="str">
        <f t="shared" si="4"/>
        <v>Tabel3 Bumil</v>
      </c>
    </row>
    <row r="136" spans="1:3" ht="19" x14ac:dyDescent="0.25">
      <c r="A136" s="5"/>
      <c r="B136" t="s">
        <v>147</v>
      </c>
      <c r="C136" s="2" t="str">
        <f>_xlfn.TEXTAFTER(B136,"/",-1)&amp;" Pascasalin"</f>
        <v>Tabel1 Pascasalin</v>
      </c>
    </row>
    <row r="137" spans="1:3" ht="19" x14ac:dyDescent="0.25">
      <c r="A137" s="5"/>
      <c r="B137" t="s">
        <v>148</v>
      </c>
      <c r="C137" s="2" t="str">
        <f t="shared" ref="C137:C138" si="5">_xlfn.TEXTAFTER(B137,"/",-1)&amp;" Pascasalin"</f>
        <v>Tabel2 Pascasalin</v>
      </c>
    </row>
    <row r="138" spans="1:3" ht="19" x14ac:dyDescent="0.25">
      <c r="A138" s="5"/>
      <c r="B138" t="s">
        <v>149</v>
      </c>
      <c r="C138" s="2" t="str">
        <f t="shared" si="5"/>
        <v>Tabel3 Pascasalin</v>
      </c>
    </row>
    <row r="139" spans="1:3" ht="19" x14ac:dyDescent="0.25">
      <c r="A139" s="5"/>
      <c r="B139" t="s">
        <v>150</v>
      </c>
      <c r="C139" s="2" t="str">
        <f>_xlfn.TEXTAFTER(B139,"/",-1)&amp;" Baduta"</f>
        <v>Tabel1 Baduta</v>
      </c>
    </row>
    <row r="140" spans="1:3" ht="19" x14ac:dyDescent="0.25">
      <c r="A140" s="5"/>
      <c r="B140" t="s">
        <v>151</v>
      </c>
      <c r="C140" s="2" t="str">
        <f t="shared" ref="C140:C143" si="6">_xlfn.TEXTAFTER(B140,"/",-1)&amp;" Baduta"</f>
        <v>Tabel2 Baduta</v>
      </c>
    </row>
    <row r="141" spans="1:3" ht="19" x14ac:dyDescent="0.25">
      <c r="A141" s="5"/>
      <c r="B141" t="s">
        <v>152</v>
      </c>
      <c r="C141" s="2" t="str">
        <f t="shared" si="6"/>
        <v>Tabel3 Baduta</v>
      </c>
    </row>
    <row r="142" spans="1:3" ht="19" x14ac:dyDescent="0.25">
      <c r="A142" s="5"/>
      <c r="B142" t="s">
        <v>153</v>
      </c>
      <c r="C142" s="2" t="str">
        <f t="shared" si="6"/>
        <v>Tabel4 Baduta</v>
      </c>
    </row>
    <row r="143" spans="1:3" ht="19" x14ac:dyDescent="0.25">
      <c r="A143" s="5"/>
      <c r="B143" t="s">
        <v>154</v>
      </c>
      <c r="C143" s="2" t="str">
        <f t="shared" si="6"/>
        <v>Tabel5 Baduta</v>
      </c>
    </row>
    <row r="144" spans="1:3" ht="19" x14ac:dyDescent="0.25">
      <c r="A144" t="s">
        <v>5</v>
      </c>
      <c r="B144" t="s">
        <v>155</v>
      </c>
      <c r="C144" s="2" t="str">
        <f>_xlfn.TEXTAFTER(B144,"/",-1)</f>
        <v>rekapitulasi</v>
      </c>
    </row>
    <row r="145" spans="1:3" ht="19" x14ac:dyDescent="0.25">
      <c r="A145" t="s">
        <v>6</v>
      </c>
      <c r="B145" t="s">
        <v>156</v>
      </c>
      <c r="C145" s="2" t="str">
        <f>_xlfn.TEXTAFTER(B145,"/",-1)</f>
        <v>stunting</v>
      </c>
    </row>
    <row r="146" spans="1:3" ht="19" x14ac:dyDescent="0.25">
      <c r="A146" t="s">
        <v>8</v>
      </c>
      <c r="B146" t="s">
        <v>158</v>
      </c>
      <c r="C146" s="2" t="str">
        <f t="shared" ref="C146:C149" si="7">_xlfn.TEXTAFTER(B146,"/",-1)</f>
        <v>catin</v>
      </c>
    </row>
    <row r="147" spans="1:3" ht="19" x14ac:dyDescent="0.25">
      <c r="A147" t="s">
        <v>9</v>
      </c>
      <c r="B147" t="s">
        <v>159</v>
      </c>
      <c r="C147" s="2" t="str">
        <f t="shared" si="7"/>
        <v>bumil</v>
      </c>
    </row>
    <row r="148" spans="1:3" ht="19" x14ac:dyDescent="0.25">
      <c r="A148" t="s">
        <v>10</v>
      </c>
      <c r="B148" t="s">
        <v>160</v>
      </c>
      <c r="C148" s="2" t="str">
        <f t="shared" si="7"/>
        <v>pascasalin</v>
      </c>
    </row>
    <row r="149" spans="1:3" ht="19" x14ac:dyDescent="0.25">
      <c r="A149" t="s">
        <v>11</v>
      </c>
      <c r="B149" t="s">
        <v>161</v>
      </c>
      <c r="C149" s="2" t="str">
        <f t="shared" si="7"/>
        <v>baduta</v>
      </c>
    </row>
  </sheetData>
  <mergeCells count="3">
    <mergeCell ref="A2:A97"/>
    <mergeCell ref="A98:A128"/>
    <mergeCell ref="A129:A143"/>
  </mergeCells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tahunan</vt:lpstr>
      <vt:lpstr>bulanan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berkahgroup</dc:creator>
  <cp:lastModifiedBy>berkahgroup</cp:lastModifiedBy>
  <dcterms:created xsi:type="dcterms:W3CDTF">2026-03-02T07:32:50Z</dcterms:created>
  <dcterms:modified xsi:type="dcterms:W3CDTF">2026-03-03T03:07:59Z</dcterms:modified>
</cp:coreProperties>
</file>